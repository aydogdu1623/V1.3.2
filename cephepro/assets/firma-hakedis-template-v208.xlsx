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/>
  </mc:AlternateContent>
  <xr:revisionPtr revIDLastSave="0" documentId="13_ncr:1_{270E2257-180C-4A43-9B4C-874F89976703}" xr6:coauthVersionLast="47" xr6:coauthVersionMax="47" xr10:uidLastSave="{00000000-0000-0000-0000-000000000000}"/>
  <bookViews>
    <workbookView xWindow="-28920" yWindow="2460" windowWidth="29040" windowHeight="15720" activeTab="4" xr2:uid="{00000000-000D-0000-FFFF-FFFF00000000}"/>
  </bookViews>
  <sheets>
    <sheet name="Özet" sheetId="1" r:id="rId1"/>
    <sheet name="Hakediş Takip" sheetId="2" r:id="rId2"/>
    <sheet name="Tutanak ve Ekler" sheetId="3" r:id="rId3"/>
    <sheet name="Kesintiler" sheetId="4" r:id="rId4"/>
    <sheet name="Tüm İmalatlar Master" sheetId="5" r:id="rId5"/>
    <sheet name="Birim Fiyat Mast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2" l="1"/>
  <c r="J8" i="2"/>
  <c r="J7" i="2"/>
  <c r="BP30" i="5"/>
  <c r="BO30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25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22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BM13" i="5"/>
  <c r="BI13" i="5"/>
  <c r="BE13" i="5"/>
  <c r="BA13" i="5"/>
  <c r="AW13" i="5"/>
  <c r="AS13" i="5"/>
  <c r="AO13" i="5"/>
  <c r="AK13" i="5"/>
  <c r="AG13" i="5"/>
  <c r="AC13" i="5"/>
  <c r="Y13" i="5"/>
  <c r="U13" i="5"/>
  <c r="Q13" i="5"/>
  <c r="M13" i="5"/>
  <c r="J13" i="5"/>
  <c r="I13" i="5"/>
  <c r="H13" i="5"/>
  <c r="F13" i="5"/>
  <c r="C13" i="5"/>
  <c r="B13" i="5"/>
  <c r="A13" i="5"/>
  <c r="BM12" i="5"/>
  <c r="BI12" i="5"/>
  <c r="BE12" i="5"/>
  <c r="BA12" i="5"/>
  <c r="AW12" i="5"/>
  <c r="AS12" i="5"/>
  <c r="AO12" i="5"/>
  <c r="AK12" i="5"/>
  <c r="AG12" i="5"/>
  <c r="AC12" i="5"/>
  <c r="Y12" i="5"/>
  <c r="U12" i="5"/>
  <c r="Q12" i="5"/>
  <c r="M12" i="5"/>
  <c r="I12" i="5"/>
  <c r="H12" i="5"/>
  <c r="F12" i="5"/>
  <c r="E12" i="5"/>
  <c r="D12" i="5"/>
  <c r="C12" i="5"/>
  <c r="B12" i="5"/>
  <c r="A12" i="5"/>
  <c r="BM11" i="5"/>
  <c r="BI11" i="5"/>
  <c r="BE11" i="5"/>
  <c r="BA11" i="5"/>
  <c r="AW11" i="5"/>
  <c r="AS11" i="5"/>
  <c r="AO11" i="5"/>
  <c r="AK11" i="5"/>
  <c r="AG11" i="5"/>
  <c r="AC11" i="5"/>
  <c r="Y11" i="5"/>
  <c r="U11" i="5"/>
  <c r="Q11" i="5"/>
  <c r="M11" i="5"/>
  <c r="J11" i="5"/>
  <c r="I11" i="5"/>
  <c r="H11" i="5"/>
  <c r="F11" i="5"/>
  <c r="C11" i="5"/>
  <c r="B11" i="5"/>
  <c r="A11" i="5"/>
  <c r="BM10" i="5"/>
  <c r="BI10" i="5"/>
  <c r="BE10" i="5"/>
  <c r="BA10" i="5"/>
  <c r="AW10" i="5"/>
  <c r="AS10" i="5"/>
  <c r="AO10" i="5"/>
  <c r="AK10" i="5"/>
  <c r="AG10" i="5"/>
  <c r="AC10" i="5"/>
  <c r="Y10" i="5"/>
  <c r="U10" i="5"/>
  <c r="Q10" i="5"/>
  <c r="M10" i="5"/>
  <c r="I10" i="5"/>
  <c r="H10" i="5"/>
  <c r="F10" i="5"/>
  <c r="C10" i="5"/>
  <c r="B10" i="5"/>
  <c r="A10" i="5"/>
  <c r="BM9" i="5"/>
  <c r="BI9" i="5"/>
  <c r="BE9" i="5"/>
  <c r="BA9" i="5"/>
  <c r="AW9" i="5"/>
  <c r="AS9" i="5"/>
  <c r="AO9" i="5"/>
  <c r="AK9" i="5"/>
  <c r="AG9" i="5"/>
  <c r="AC9" i="5"/>
  <c r="Y9" i="5"/>
  <c r="U9" i="5"/>
  <c r="Q9" i="5"/>
  <c r="M9" i="5"/>
  <c r="J9" i="5"/>
  <c r="I9" i="5"/>
  <c r="H9" i="5"/>
  <c r="F9" i="5"/>
  <c r="E9" i="5"/>
  <c r="D9" i="5"/>
  <c r="C9" i="5"/>
  <c r="B9" i="5"/>
  <c r="A9" i="5"/>
  <c r="BM8" i="5"/>
  <c r="BI8" i="5"/>
  <c r="BE8" i="5"/>
  <c r="BA8" i="5"/>
  <c r="AW8" i="5"/>
  <c r="AS8" i="5"/>
  <c r="AO8" i="5"/>
  <c r="AK8" i="5"/>
  <c r="AG8" i="5"/>
  <c r="AC8" i="5"/>
  <c r="Y8" i="5"/>
  <c r="U8" i="5"/>
  <c r="Q8" i="5"/>
  <c r="M8" i="5"/>
  <c r="J8" i="5"/>
  <c r="I8" i="5"/>
  <c r="H8" i="5"/>
  <c r="F8" i="5"/>
  <c r="C8" i="5"/>
  <c r="B8" i="5"/>
  <c r="A8" i="5"/>
  <c r="BM7" i="5"/>
  <c r="BI7" i="5"/>
  <c r="BE7" i="5"/>
  <c r="BA7" i="5"/>
  <c r="AW7" i="5"/>
  <c r="AS7" i="5"/>
  <c r="AO7" i="5"/>
  <c r="AK7" i="5"/>
  <c r="AG7" i="5"/>
  <c r="AC7" i="5"/>
  <c r="Y7" i="5"/>
  <c r="U7" i="5"/>
  <c r="Q7" i="5"/>
  <c r="M7" i="5"/>
  <c r="I7" i="5"/>
  <c r="H7" i="5"/>
  <c r="F7" i="5"/>
  <c r="E7" i="5"/>
  <c r="C7" i="5"/>
  <c r="B7" i="5"/>
  <c r="A7" i="5"/>
  <c r="E8" i="4"/>
  <c r="G7" i="4"/>
  <c r="D10" i="1" s="1"/>
  <c r="G6" i="4"/>
  <c r="G8" i="4" s="1"/>
  <c r="E8" i="3"/>
  <c r="G7" i="3"/>
  <c r="G6" i="3"/>
  <c r="G8" i="3" s="1"/>
  <c r="BM31" i="2"/>
  <c r="BI31" i="2"/>
  <c r="BE31" i="2"/>
  <c r="BA31" i="2"/>
  <c r="AW31" i="2"/>
  <c r="AS31" i="2"/>
  <c r="AO31" i="2"/>
  <c r="AK31" i="2"/>
  <c r="AG31" i="2"/>
  <c r="AC31" i="2"/>
  <c r="Y31" i="2"/>
  <c r="U31" i="2"/>
  <c r="Q31" i="2"/>
  <c r="M31" i="2"/>
  <c r="I31" i="2"/>
  <c r="H31" i="2"/>
  <c r="F31" i="2"/>
  <c r="BO13" i="2"/>
  <c r="BP13" i="2" s="1"/>
  <c r="BP13" i="5" s="1"/>
  <c r="BK13" i="2"/>
  <c r="BK13" i="5" s="1"/>
  <c r="BG13" i="2"/>
  <c r="BG13" i="5" s="1"/>
  <c r="BC13" i="2"/>
  <c r="BC13" i="5" s="1"/>
  <c r="AY13" i="2"/>
  <c r="AZ13" i="2" s="1"/>
  <c r="AZ13" i="5" s="1"/>
  <c r="AU13" i="2"/>
  <c r="AV13" i="2" s="1"/>
  <c r="AV13" i="5" s="1"/>
  <c r="AQ13" i="2"/>
  <c r="AQ13" i="5" s="1"/>
  <c r="AM13" i="2"/>
  <c r="AI13" i="2"/>
  <c r="AI13" i="5" s="1"/>
  <c r="AE13" i="2"/>
  <c r="AF13" i="2" s="1"/>
  <c r="AF13" i="5" s="1"/>
  <c r="AA13" i="2"/>
  <c r="AB13" i="2" s="1"/>
  <c r="AB13" i="5" s="1"/>
  <c r="W13" i="2"/>
  <c r="W13" i="5" s="1"/>
  <c r="S13" i="2"/>
  <c r="S13" i="5" s="1"/>
  <c r="O13" i="2"/>
  <c r="P13" i="2" s="1"/>
  <c r="P13" i="5" s="1"/>
  <c r="N13" i="2"/>
  <c r="R13" i="2" s="1"/>
  <c r="K13" i="2"/>
  <c r="L13" i="2" s="1"/>
  <c r="L13" i="5" s="1"/>
  <c r="J13" i="2"/>
  <c r="G13" i="2"/>
  <c r="G13" i="5" s="1"/>
  <c r="E13" i="2"/>
  <c r="E13" i="5" s="1"/>
  <c r="D13" i="2"/>
  <c r="D13" i="5" s="1"/>
  <c r="BO12" i="2"/>
  <c r="BO12" i="5" s="1"/>
  <c r="BK12" i="2"/>
  <c r="BK12" i="5" s="1"/>
  <c r="BG12" i="2"/>
  <c r="BH12" i="2" s="1"/>
  <c r="BH12" i="5" s="1"/>
  <c r="BC12" i="2"/>
  <c r="BD12" i="2" s="1"/>
  <c r="BD12" i="5" s="1"/>
  <c r="AY12" i="2"/>
  <c r="AU12" i="2"/>
  <c r="AU12" i="5" s="1"/>
  <c r="AQ12" i="2"/>
  <c r="AQ12" i="5" s="1"/>
  <c r="AM12" i="2"/>
  <c r="AN12" i="2" s="1"/>
  <c r="AN12" i="5" s="1"/>
  <c r="AI12" i="2"/>
  <c r="AJ12" i="2" s="1"/>
  <c r="AJ12" i="5" s="1"/>
  <c r="AE12" i="2"/>
  <c r="AE12" i="5" s="1"/>
  <c r="AA12" i="2"/>
  <c r="AB12" i="2" s="1"/>
  <c r="AB12" i="5" s="1"/>
  <c r="W12" i="2"/>
  <c r="W12" i="5" s="1"/>
  <c r="S12" i="2"/>
  <c r="T12" i="2" s="1"/>
  <c r="T12" i="5" s="1"/>
  <c r="O12" i="2"/>
  <c r="P12" i="2" s="1"/>
  <c r="P12" i="5" s="1"/>
  <c r="K12" i="2"/>
  <c r="K12" i="5" s="1"/>
  <c r="J12" i="2"/>
  <c r="J12" i="5" s="1"/>
  <c r="G12" i="2"/>
  <c r="G12" i="5" s="1"/>
  <c r="E12" i="2"/>
  <c r="D12" i="2"/>
  <c r="BO11" i="2"/>
  <c r="BP11" i="2" s="1"/>
  <c r="BP11" i="5" s="1"/>
  <c r="BK11" i="2"/>
  <c r="BL11" i="2" s="1"/>
  <c r="BL11" i="5" s="1"/>
  <c r="BG11" i="2"/>
  <c r="BG11" i="5" s="1"/>
  <c r="BC11" i="2"/>
  <c r="BC11" i="5" s="1"/>
  <c r="AY11" i="2"/>
  <c r="AY11" i="5" s="1"/>
  <c r="AU11" i="2"/>
  <c r="AV11" i="2" s="1"/>
  <c r="AV11" i="5" s="1"/>
  <c r="AQ11" i="2"/>
  <c r="AR11" i="2" s="1"/>
  <c r="AR11" i="5" s="1"/>
  <c r="AM11" i="2"/>
  <c r="AM11" i="5" s="1"/>
  <c r="AI11" i="2"/>
  <c r="AE11" i="2"/>
  <c r="AE11" i="5" s="1"/>
  <c r="AA11" i="2"/>
  <c r="AB11" i="2" s="1"/>
  <c r="AB11" i="5" s="1"/>
  <c r="W11" i="2"/>
  <c r="X11" i="2" s="1"/>
  <c r="X11" i="5" s="1"/>
  <c r="S11" i="2"/>
  <c r="S11" i="5" s="1"/>
  <c r="O11" i="2"/>
  <c r="P11" i="2" s="1"/>
  <c r="P11" i="5" s="1"/>
  <c r="K11" i="2"/>
  <c r="L11" i="2" s="1"/>
  <c r="L11" i="5" s="1"/>
  <c r="J11" i="2"/>
  <c r="N11" i="2" s="1"/>
  <c r="G11" i="2"/>
  <c r="G11" i="5" s="1"/>
  <c r="E11" i="2"/>
  <c r="E11" i="5" s="1"/>
  <c r="D11" i="2"/>
  <c r="D11" i="5" s="1"/>
  <c r="BO10" i="2"/>
  <c r="BO10" i="5" s="1"/>
  <c r="BK10" i="2"/>
  <c r="BK10" i="5" s="1"/>
  <c r="BG10" i="2"/>
  <c r="BG10" i="5" s="1"/>
  <c r="BC10" i="2"/>
  <c r="BD10" i="2" s="1"/>
  <c r="BD10" i="5" s="1"/>
  <c r="AY10" i="2"/>
  <c r="AZ10" i="2" s="1"/>
  <c r="AZ10" i="5" s="1"/>
  <c r="AU10" i="2"/>
  <c r="AU10" i="5" s="1"/>
  <c r="AQ10" i="2"/>
  <c r="AQ10" i="5" s="1"/>
  <c r="AM10" i="2"/>
  <c r="AM10" i="5" s="1"/>
  <c r="AI10" i="2"/>
  <c r="AI10" i="5" s="1"/>
  <c r="AE10" i="2"/>
  <c r="AF10" i="2" s="1"/>
  <c r="AF10" i="5" s="1"/>
  <c r="AA10" i="2"/>
  <c r="AA10" i="5" s="1"/>
  <c r="W10" i="2"/>
  <c r="W10" i="5" s="1"/>
  <c r="S10" i="2"/>
  <c r="O10" i="2"/>
  <c r="P10" i="2" s="1"/>
  <c r="P10" i="5" s="1"/>
  <c r="K10" i="2"/>
  <c r="K10" i="5" s="1"/>
  <c r="J10" i="2"/>
  <c r="J10" i="5" s="1"/>
  <c r="G10" i="2"/>
  <c r="G10" i="5" s="1"/>
  <c r="E10" i="2"/>
  <c r="E10" i="5" s="1"/>
  <c r="D10" i="2"/>
  <c r="D10" i="5" s="1"/>
  <c r="BO9" i="2"/>
  <c r="BP9" i="2" s="1"/>
  <c r="BP9" i="5" s="1"/>
  <c r="BK9" i="2"/>
  <c r="BL9" i="2" s="1"/>
  <c r="BL9" i="5" s="1"/>
  <c r="BG9" i="2"/>
  <c r="BH9" i="2" s="1"/>
  <c r="BH9" i="5" s="1"/>
  <c r="BC9" i="2"/>
  <c r="BC9" i="5" s="1"/>
  <c r="AY9" i="2"/>
  <c r="AY9" i="5" s="1"/>
  <c r="AU9" i="2"/>
  <c r="AU9" i="5" s="1"/>
  <c r="AQ9" i="2"/>
  <c r="AQ9" i="5" s="1"/>
  <c r="AM9" i="2"/>
  <c r="AN9" i="2" s="1"/>
  <c r="AN9" i="5" s="1"/>
  <c r="AI9" i="2"/>
  <c r="AI9" i="5" s="1"/>
  <c r="AE9" i="2"/>
  <c r="AE9" i="5" s="1"/>
  <c r="AA9" i="2"/>
  <c r="AA9" i="5" s="1"/>
  <c r="W9" i="2"/>
  <c r="X9" i="2" s="1"/>
  <c r="X9" i="5" s="1"/>
  <c r="S9" i="2"/>
  <c r="S9" i="5" s="1"/>
  <c r="O9" i="2"/>
  <c r="O9" i="5" s="1"/>
  <c r="K9" i="2"/>
  <c r="L9" i="2" s="1"/>
  <c r="L9" i="5" s="1"/>
  <c r="N9" i="2"/>
  <c r="N9" i="5" s="1"/>
  <c r="G9" i="2"/>
  <c r="G9" i="5" s="1"/>
  <c r="E9" i="2"/>
  <c r="D9" i="2"/>
  <c r="BO8" i="2"/>
  <c r="BP8" i="2" s="1"/>
  <c r="BP8" i="5" s="1"/>
  <c r="BK8" i="2"/>
  <c r="BK8" i="5" s="1"/>
  <c r="BG8" i="2"/>
  <c r="BG8" i="5" s="1"/>
  <c r="BC8" i="2"/>
  <c r="BC8" i="5" s="1"/>
  <c r="AY8" i="2"/>
  <c r="AZ8" i="2" s="1"/>
  <c r="AZ8" i="5" s="1"/>
  <c r="AU8" i="2"/>
  <c r="AV8" i="2" s="1"/>
  <c r="AV8" i="5" s="1"/>
  <c r="AQ8" i="2"/>
  <c r="AQ8" i="5" s="1"/>
  <c r="AM8" i="2"/>
  <c r="AM8" i="5" s="1"/>
  <c r="AI8" i="2"/>
  <c r="AI8" i="5" s="1"/>
  <c r="AE8" i="2"/>
  <c r="AF8" i="2" s="1"/>
  <c r="AF8" i="5" s="1"/>
  <c r="AA8" i="2"/>
  <c r="AA8" i="5" s="1"/>
  <c r="W8" i="2"/>
  <c r="W8" i="5" s="1"/>
  <c r="S8" i="2"/>
  <c r="T8" i="2" s="1"/>
  <c r="T8" i="5" s="1"/>
  <c r="O8" i="2"/>
  <c r="P8" i="2" s="1"/>
  <c r="P8" i="5" s="1"/>
  <c r="K8" i="2"/>
  <c r="L8" i="2" s="1"/>
  <c r="L8" i="5" s="1"/>
  <c r="N8" i="2"/>
  <c r="G8" i="2"/>
  <c r="G8" i="5" s="1"/>
  <c r="E8" i="2"/>
  <c r="E8" i="5" s="1"/>
  <c r="D8" i="2"/>
  <c r="D8" i="5" s="1"/>
  <c r="BO7" i="2"/>
  <c r="BO7" i="5" s="1"/>
  <c r="BK7" i="2"/>
  <c r="BK7" i="5" s="1"/>
  <c r="BG7" i="2"/>
  <c r="BH7" i="2" s="1"/>
  <c r="BC7" i="2"/>
  <c r="BD7" i="2" s="1"/>
  <c r="AY7" i="2"/>
  <c r="AU7" i="2"/>
  <c r="AU7" i="5" s="1"/>
  <c r="AQ7" i="2"/>
  <c r="AR7" i="2" s="1"/>
  <c r="AR7" i="5" s="1"/>
  <c r="AM7" i="2"/>
  <c r="AN7" i="2" s="1"/>
  <c r="AI7" i="2"/>
  <c r="AI7" i="5" s="1"/>
  <c r="AE7" i="2"/>
  <c r="AE7" i="5" s="1"/>
  <c r="AA7" i="2"/>
  <c r="AB7" i="2" s="1"/>
  <c r="AB7" i="5" s="1"/>
  <c r="W7" i="2"/>
  <c r="W7" i="5" s="1"/>
  <c r="S7" i="2"/>
  <c r="T7" i="2" s="1"/>
  <c r="O7" i="2"/>
  <c r="O7" i="5" s="1"/>
  <c r="N7" i="2"/>
  <c r="R7" i="2" s="1"/>
  <c r="K7" i="2"/>
  <c r="K7" i="5" s="1"/>
  <c r="G7" i="2"/>
  <c r="G7" i="5" s="1"/>
  <c r="E7" i="2"/>
  <c r="D7" i="2"/>
  <c r="D7" i="5" s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C10" i="1"/>
  <c r="D9" i="1"/>
  <c r="C9" i="1"/>
  <c r="W11" i="5" l="1"/>
  <c r="O12" i="5"/>
  <c r="AM9" i="5"/>
  <c r="BO8" i="5"/>
  <c r="AY8" i="5"/>
  <c r="BC7" i="5"/>
  <c r="BO13" i="5"/>
  <c r="AQ7" i="5"/>
  <c r="AE8" i="5"/>
  <c r="AI12" i="5"/>
  <c r="BK11" i="5"/>
  <c r="BG7" i="5"/>
  <c r="BO11" i="5"/>
  <c r="O8" i="5"/>
  <c r="O10" i="5"/>
  <c r="BP7" i="2"/>
  <c r="BP7" i="5" s="1"/>
  <c r="AU8" i="5"/>
  <c r="K11" i="5"/>
  <c r="AR10" i="2"/>
  <c r="AR10" i="5" s="1"/>
  <c r="BG9" i="5"/>
  <c r="AB8" i="2"/>
  <c r="AB8" i="5" s="1"/>
  <c r="T9" i="2"/>
  <c r="T9" i="5" s="1"/>
  <c r="BC12" i="5"/>
  <c r="BC10" i="5"/>
  <c r="BG12" i="5"/>
  <c r="AQ11" i="5"/>
  <c r="AJ9" i="2"/>
  <c r="AJ9" i="5" s="1"/>
  <c r="AY13" i="5"/>
  <c r="O13" i="5"/>
  <c r="X8" i="2"/>
  <c r="X8" i="5" s="1"/>
  <c r="BK9" i="5"/>
  <c r="AY10" i="5"/>
  <c r="AE13" i="5"/>
  <c r="BO9" i="5"/>
  <c r="AJ8" i="2"/>
  <c r="AJ8" i="5" s="1"/>
  <c r="AB9" i="2"/>
  <c r="AB9" i="5" s="1"/>
  <c r="T11" i="2"/>
  <c r="T11" i="5" s="1"/>
  <c r="AU11" i="5"/>
  <c r="T13" i="2"/>
  <c r="T13" i="5" s="1"/>
  <c r="AM12" i="5"/>
  <c r="AZ11" i="2"/>
  <c r="AZ11" i="5" s="1"/>
  <c r="AJ13" i="2"/>
  <c r="AJ13" i="5" s="1"/>
  <c r="AJ7" i="2"/>
  <c r="AJ7" i="5" s="1"/>
  <c r="BL12" i="2"/>
  <c r="BL12" i="5" s="1"/>
  <c r="AU13" i="5"/>
  <c r="AJ10" i="2"/>
  <c r="AJ10" i="5" s="1"/>
  <c r="G31" i="2"/>
  <c r="AM7" i="5"/>
  <c r="K8" i="5"/>
  <c r="AN7" i="5"/>
  <c r="T7" i="5"/>
  <c r="V7" i="2"/>
  <c r="R7" i="5"/>
  <c r="R8" i="2"/>
  <c r="N8" i="5"/>
  <c r="W9" i="5"/>
  <c r="P7" i="2"/>
  <c r="BD9" i="2"/>
  <c r="BD9" i="5" s="1"/>
  <c r="BL10" i="2"/>
  <c r="BL10" i="5" s="1"/>
  <c r="AF11" i="2"/>
  <c r="AF11" i="5" s="1"/>
  <c r="AY7" i="5"/>
  <c r="AZ7" i="2"/>
  <c r="BH8" i="2"/>
  <c r="BH8" i="5" s="1"/>
  <c r="AI11" i="5"/>
  <c r="AJ11" i="2"/>
  <c r="AJ11" i="5" s="1"/>
  <c r="BP10" i="2"/>
  <c r="BP10" i="5" s="1"/>
  <c r="BL8" i="2"/>
  <c r="BL8" i="5" s="1"/>
  <c r="D24" i="1"/>
  <c r="BL7" i="2"/>
  <c r="L12" i="2"/>
  <c r="L12" i="5" s="1"/>
  <c r="K13" i="5"/>
  <c r="X7" i="2"/>
  <c r="N12" i="2"/>
  <c r="N31" i="2" s="1"/>
  <c r="AE10" i="5"/>
  <c r="N11" i="5"/>
  <c r="R11" i="2"/>
  <c r="AV12" i="2"/>
  <c r="AV12" i="5" s="1"/>
  <c r="BH13" i="2"/>
  <c r="BH13" i="5" s="1"/>
  <c r="S7" i="5"/>
  <c r="AA11" i="5"/>
  <c r="S12" i="5"/>
  <c r="L7" i="2"/>
  <c r="AR12" i="2"/>
  <c r="AR12" i="5" s="1"/>
  <c r="AN10" i="2"/>
  <c r="AN10" i="5" s="1"/>
  <c r="N13" i="5"/>
  <c r="BD8" i="2"/>
  <c r="BD8" i="5" s="1"/>
  <c r="AM13" i="5"/>
  <c r="AN13" i="2"/>
  <c r="AN13" i="5" s="1"/>
  <c r="N7" i="5"/>
  <c r="R13" i="5"/>
  <c r="V13" i="2"/>
  <c r="BD7" i="5"/>
  <c r="L10" i="2"/>
  <c r="L10" i="5" s="1"/>
  <c r="BL13" i="2"/>
  <c r="BL13" i="5" s="1"/>
  <c r="AN8" i="2"/>
  <c r="AN8" i="5" s="1"/>
  <c r="AR9" i="2"/>
  <c r="AR9" i="5" s="1"/>
  <c r="N10" i="2"/>
  <c r="BD11" i="2"/>
  <c r="BD11" i="5" s="1"/>
  <c r="BH7" i="5"/>
  <c r="R9" i="2"/>
  <c r="AV9" i="2"/>
  <c r="AV9" i="5" s="1"/>
  <c r="X12" i="2"/>
  <c r="X12" i="5" s="1"/>
  <c r="AA13" i="5"/>
  <c r="AZ9" i="2"/>
  <c r="AZ9" i="5" s="1"/>
  <c r="BH10" i="2"/>
  <c r="BH10" i="5" s="1"/>
  <c r="BP12" i="2"/>
  <c r="BP12" i="5" s="1"/>
  <c r="AV7" i="2"/>
  <c r="C24" i="1"/>
  <c r="BD13" i="2"/>
  <c r="BD13" i="5" s="1"/>
  <c r="AY12" i="5"/>
  <c r="AZ12" i="2"/>
  <c r="AZ12" i="5" s="1"/>
  <c r="P9" i="2"/>
  <c r="P9" i="5" s="1"/>
  <c r="J7" i="5"/>
  <c r="J31" i="2"/>
  <c r="S10" i="5"/>
  <c r="T10" i="2"/>
  <c r="T10" i="5" s="1"/>
  <c r="BH11" i="2"/>
  <c r="BH11" i="5" s="1"/>
  <c r="AF9" i="2"/>
  <c r="AF9" i="5" s="1"/>
  <c r="X10" i="2"/>
  <c r="X10" i="5" s="1"/>
  <c r="AN11" i="2"/>
  <c r="AN11" i="5" s="1"/>
  <c r="AA7" i="5"/>
  <c r="S8" i="5"/>
  <c r="K9" i="5"/>
  <c r="O11" i="5"/>
  <c r="AA12" i="5"/>
  <c r="AV10" i="2"/>
  <c r="AV10" i="5" s="1"/>
  <c r="AR8" i="2"/>
  <c r="AR8" i="5" s="1"/>
  <c r="AF7" i="2"/>
  <c r="AF12" i="2"/>
  <c r="AF12" i="5" s="1"/>
  <c r="AB10" i="2"/>
  <c r="AB10" i="5" s="1"/>
  <c r="AR13" i="2"/>
  <c r="AR13" i="5" s="1"/>
  <c r="X13" i="2"/>
  <c r="X13" i="5" s="1"/>
  <c r="B15" i="1" l="1"/>
  <c r="E15" i="1" s="1"/>
  <c r="F15" i="1" s="1"/>
  <c r="G15" i="1" s="1"/>
  <c r="T31" i="2"/>
  <c r="BD31" i="2"/>
  <c r="B17" i="1"/>
  <c r="E17" i="1" s="1"/>
  <c r="F17" i="1" s="1"/>
  <c r="G17" i="1" s="1"/>
  <c r="Z13" i="2"/>
  <c r="V13" i="5"/>
  <c r="P31" i="2"/>
  <c r="B10" i="1"/>
  <c r="E10" i="1" s="1"/>
  <c r="P7" i="5"/>
  <c r="B18" i="1"/>
  <c r="E18" i="1" s="1"/>
  <c r="AV7" i="5"/>
  <c r="AV31" i="2"/>
  <c r="B12" i="1"/>
  <c r="E12" i="1" s="1"/>
  <c r="X7" i="5"/>
  <c r="X31" i="2"/>
  <c r="B22" i="1"/>
  <c r="E22" i="1" s="1"/>
  <c r="BL31" i="2"/>
  <c r="BL7" i="5"/>
  <c r="Z7" i="2"/>
  <c r="V7" i="5"/>
  <c r="AF7" i="5"/>
  <c r="AF31" i="2"/>
  <c r="B14" i="1"/>
  <c r="E14" i="1" s="1"/>
  <c r="N12" i="5"/>
  <c r="R12" i="2"/>
  <c r="R8" i="5"/>
  <c r="V8" i="2"/>
  <c r="BP31" i="2"/>
  <c r="B23" i="1"/>
  <c r="E23" i="1" s="1"/>
  <c r="B20" i="1"/>
  <c r="E20" i="1" s="1"/>
  <c r="R9" i="5"/>
  <c r="V9" i="2"/>
  <c r="AR31" i="2"/>
  <c r="B21" i="1"/>
  <c r="E21" i="1" s="1"/>
  <c r="B11" i="1"/>
  <c r="E11" i="1" s="1"/>
  <c r="BH31" i="2"/>
  <c r="B13" i="1"/>
  <c r="E13" i="1" s="1"/>
  <c r="R10" i="2"/>
  <c r="N10" i="5"/>
  <c r="L7" i="5"/>
  <c r="L31" i="2"/>
  <c r="B9" i="1"/>
  <c r="B16" i="1"/>
  <c r="E16" i="1" s="1"/>
  <c r="AB31" i="2"/>
  <c r="R11" i="5"/>
  <c r="V11" i="2"/>
  <c r="AJ31" i="2"/>
  <c r="AZ7" i="5"/>
  <c r="AZ31" i="2"/>
  <c r="B19" i="1"/>
  <c r="E19" i="1" s="1"/>
  <c r="AN31" i="2"/>
  <c r="F13" i="1" l="1"/>
  <c r="G13" i="1" s="1"/>
  <c r="F22" i="1"/>
  <c r="G22" i="1" s="1"/>
  <c r="F19" i="1"/>
  <c r="G19" i="1" s="1"/>
  <c r="Z11" i="2"/>
  <c r="V11" i="5"/>
  <c r="AD7" i="2"/>
  <c r="Z7" i="5"/>
  <c r="F11" i="1"/>
  <c r="G11" i="1" s="1"/>
  <c r="F12" i="1"/>
  <c r="G12" i="1" s="1"/>
  <c r="F20" i="1"/>
  <c r="G20" i="1" s="1"/>
  <c r="F18" i="1"/>
  <c r="G18" i="1" s="1"/>
  <c r="F10" i="1"/>
  <c r="G10" i="1" s="1"/>
  <c r="F16" i="1"/>
  <c r="G16" i="1" s="1"/>
  <c r="F14" i="1"/>
  <c r="G14" i="1" s="1"/>
  <c r="V10" i="2"/>
  <c r="R10" i="5"/>
  <c r="F21" i="1"/>
  <c r="G21" i="1" s="1"/>
  <c r="V9" i="5"/>
  <c r="Z9" i="2"/>
  <c r="F23" i="1"/>
  <c r="G23" i="1" s="1"/>
  <c r="V8" i="5"/>
  <c r="Z8" i="2"/>
  <c r="V12" i="2"/>
  <c r="R12" i="5"/>
  <c r="B24" i="1"/>
  <c r="E9" i="1"/>
  <c r="AD13" i="2"/>
  <c r="Z13" i="5"/>
  <c r="R31" i="2"/>
  <c r="AH13" i="2" l="1"/>
  <c r="AD13" i="5"/>
  <c r="E24" i="1"/>
  <c r="F9" i="1"/>
  <c r="F24" i="1" s="1"/>
  <c r="AD7" i="5"/>
  <c r="AH7" i="2"/>
  <c r="Z8" i="5"/>
  <c r="AD8" i="2"/>
  <c r="Z12" i="2"/>
  <c r="V12" i="5"/>
  <c r="AD9" i="2"/>
  <c r="Z9" i="5"/>
  <c r="Z31" i="2"/>
  <c r="AD11" i="2"/>
  <c r="Z11" i="5"/>
  <c r="V10" i="5"/>
  <c r="Z10" i="2"/>
  <c r="V31" i="2"/>
  <c r="AD11" i="5" l="1"/>
  <c r="AH11" i="2"/>
  <c r="AD9" i="5"/>
  <c r="AH9" i="2"/>
  <c r="Z12" i="5"/>
  <c r="AD12" i="2"/>
  <c r="AD8" i="5"/>
  <c r="AH8" i="2"/>
  <c r="AH7" i="5"/>
  <c r="AL7" i="2"/>
  <c r="AD10" i="2"/>
  <c r="Z10" i="5"/>
  <c r="AD31" i="2"/>
  <c r="G9" i="1"/>
  <c r="G24" i="1" s="1"/>
  <c r="AL13" i="2"/>
  <c r="AH13" i="5"/>
  <c r="AH9" i="5" l="1"/>
  <c r="AL9" i="2"/>
  <c r="AL13" i="5"/>
  <c r="AP13" i="2"/>
  <c r="AH11" i="5"/>
  <c r="AL11" i="2"/>
  <c r="AD10" i="5"/>
  <c r="AH10" i="2"/>
  <c r="AP7" i="2"/>
  <c r="AL7" i="5"/>
  <c r="AH31" i="2"/>
  <c r="AL8" i="2"/>
  <c r="AH8" i="5"/>
  <c r="AD12" i="5"/>
  <c r="AH12" i="2"/>
  <c r="AL12" i="2" l="1"/>
  <c r="AH12" i="5"/>
  <c r="AP7" i="5"/>
  <c r="AT7" i="2"/>
  <c r="AP11" i="2"/>
  <c r="AL11" i="5"/>
  <c r="AP9" i="2"/>
  <c r="AL9" i="5"/>
  <c r="AL8" i="5"/>
  <c r="AP8" i="2"/>
  <c r="AH10" i="5"/>
  <c r="AL10" i="2"/>
  <c r="AL31" i="2" s="1"/>
  <c r="AP13" i="5"/>
  <c r="AT13" i="2"/>
  <c r="AP8" i="5" l="1"/>
  <c r="AT8" i="2"/>
  <c r="AT7" i="5"/>
  <c r="AX7" i="2"/>
  <c r="AX13" i="2"/>
  <c r="AT13" i="5"/>
  <c r="AL10" i="5"/>
  <c r="AP10" i="2"/>
  <c r="AT9" i="2"/>
  <c r="AP9" i="5"/>
  <c r="AT11" i="2"/>
  <c r="AP11" i="5"/>
  <c r="AP12" i="2"/>
  <c r="AL12" i="5"/>
  <c r="AP10" i="5" l="1"/>
  <c r="AT10" i="2"/>
  <c r="AP12" i="5"/>
  <c r="AT12" i="2"/>
  <c r="BB13" i="2"/>
  <c r="AX13" i="5"/>
  <c r="AX7" i="5"/>
  <c r="BB7" i="2"/>
  <c r="AX8" i="2"/>
  <c r="AT8" i="5"/>
  <c r="AP31" i="2"/>
  <c r="AT11" i="5"/>
  <c r="AX11" i="2"/>
  <c r="AX9" i="2"/>
  <c r="AT9" i="5"/>
  <c r="AT31" i="2"/>
  <c r="AX9" i="5" l="1"/>
  <c r="BB9" i="2"/>
  <c r="AX8" i="5"/>
  <c r="BB8" i="2"/>
  <c r="BF7" i="2"/>
  <c r="BB7" i="5"/>
  <c r="BB13" i="5"/>
  <c r="BF13" i="2"/>
  <c r="AT10" i="5"/>
  <c r="AX10" i="2"/>
  <c r="BB11" i="2"/>
  <c r="AX11" i="5"/>
  <c r="AT12" i="5"/>
  <c r="AX12" i="2"/>
  <c r="AX31" i="2" s="1"/>
  <c r="BB12" i="2" l="1"/>
  <c r="AX12" i="5"/>
  <c r="BB10" i="2"/>
  <c r="AX10" i="5"/>
  <c r="BJ7" i="2"/>
  <c r="BF7" i="5"/>
  <c r="BB9" i="5"/>
  <c r="BF9" i="2"/>
  <c r="BB11" i="5"/>
  <c r="BF11" i="2"/>
  <c r="BF13" i="5"/>
  <c r="BJ13" i="2"/>
  <c r="BB8" i="5"/>
  <c r="BF8" i="2"/>
  <c r="BF11" i="5" l="1"/>
  <c r="BJ11" i="2"/>
  <c r="BJ7" i="5"/>
  <c r="BN7" i="2"/>
  <c r="BF8" i="5"/>
  <c r="BJ8" i="2"/>
  <c r="BJ13" i="5"/>
  <c r="BN13" i="2"/>
  <c r="BN13" i="5" s="1"/>
  <c r="BJ9" i="2"/>
  <c r="BF9" i="5"/>
  <c r="BF10" i="2"/>
  <c r="BB10" i="5"/>
  <c r="BB31" i="2"/>
  <c r="BF12" i="2"/>
  <c r="BB12" i="5"/>
  <c r="BJ12" i="2" l="1"/>
  <c r="BF12" i="5"/>
  <c r="BJ8" i="5"/>
  <c r="BN8" i="2"/>
  <c r="BN8" i="5" s="1"/>
  <c r="BJ10" i="2"/>
  <c r="BJ31" i="2" s="1"/>
  <c r="BF10" i="5"/>
  <c r="BF31" i="2"/>
  <c r="BN9" i="2"/>
  <c r="BN9" i="5" s="1"/>
  <c r="BJ9" i="5"/>
  <c r="BN7" i="5"/>
  <c r="BN11" i="2"/>
  <c r="BN11" i="5" s="1"/>
  <c r="BJ11" i="5"/>
  <c r="BJ10" i="5" l="1"/>
  <c r="BN10" i="2"/>
  <c r="BN12" i="2"/>
  <c r="BN12" i="5" s="1"/>
  <c r="BJ12" i="5"/>
  <c r="BN10" i="5" l="1"/>
  <c r="BN31" i="2"/>
</calcChain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T\L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i/>
      <sz val="9"/>
      <color rgb="FF5D6D7E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B2631"/>
        <bgColor rgb="FF1B2631"/>
      </patternFill>
    </fill>
    <fill>
      <patternFill patternType="solid">
        <fgColor rgb="FF2C3E50"/>
        <bgColor rgb="FF2C3E50"/>
      </patternFill>
    </fill>
    <fill>
      <patternFill patternType="solid">
        <fgColor rgb="FFEAECEE"/>
        <bgColor rgb="FFEAECEE"/>
      </patternFill>
    </fill>
    <fill>
      <patternFill patternType="solid">
        <fgColor rgb="FFFCF3CF"/>
        <bgColor rgb="FFFCF3CF"/>
      </patternFill>
    </fill>
    <fill>
      <patternFill patternType="solid">
        <fgColor rgb="FF1F618D"/>
        <bgColor rgb="FF1F618D"/>
      </patternFill>
    </fill>
    <fill>
      <patternFill patternType="solid">
        <fgColor rgb="FF2874A6"/>
        <bgColor rgb="FF2874A6"/>
      </patternFill>
    </fill>
    <fill>
      <patternFill patternType="solid">
        <fgColor rgb="FF154360"/>
        <bgColor rgb="FF154360"/>
      </patternFill>
    </fill>
    <fill>
      <patternFill patternType="solid">
        <fgColor rgb="FF0B5345"/>
        <bgColor rgb="FF0B5345"/>
      </patternFill>
    </fill>
    <fill>
      <patternFill patternType="solid">
        <fgColor rgb="FF1B4F72"/>
        <bgColor rgb="FF1B4F72"/>
      </patternFill>
    </fill>
    <fill>
      <patternFill patternType="solid">
        <fgColor rgb="FF212F3D"/>
        <bgColor rgb="FF212F3D"/>
      </patternFill>
    </fill>
    <fill>
      <patternFill patternType="solid">
        <fgColor rgb="FF117864"/>
        <bgColor rgb="FF117864"/>
      </patternFill>
    </fill>
    <fill>
      <patternFill patternType="solid">
        <fgColor rgb="FF7D3C98"/>
        <bgColor rgb="FF7D3C98"/>
      </patternFill>
    </fill>
    <fill>
      <patternFill patternType="solid">
        <fgColor rgb="FFB7950B"/>
        <bgColor rgb="FFB7950B"/>
      </patternFill>
    </fill>
    <fill>
      <patternFill patternType="solid">
        <fgColor rgb="FF900C3F"/>
        <bgColor rgb="FF900C3F"/>
      </patternFill>
    </fill>
    <fill>
      <patternFill patternType="solid">
        <fgColor rgb="FF117A65"/>
        <bgColor rgb="FF117A65"/>
      </patternFill>
    </fill>
    <fill>
      <patternFill patternType="solid">
        <fgColor rgb="FF6C3483"/>
        <bgColor rgb="FF6C3483"/>
      </patternFill>
    </fill>
    <fill>
      <patternFill patternType="solid">
        <fgColor rgb="FF2E4053"/>
        <bgColor rgb="FF2E4053"/>
      </patternFill>
    </fill>
    <fill>
      <patternFill patternType="solid">
        <fgColor rgb="FF1A5276"/>
        <bgColor rgb="FF1A5276"/>
      </patternFill>
    </fill>
  </fills>
  <borders count="16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medium">
        <color rgb="FF1B2631"/>
      </left>
      <right/>
      <top style="medium">
        <color rgb="FF1B2631"/>
      </top>
      <bottom/>
      <diagonal/>
    </border>
    <border>
      <left/>
      <right/>
      <top style="medium">
        <color rgb="FF1B2631"/>
      </top>
      <bottom/>
      <diagonal/>
    </border>
    <border>
      <left/>
      <right style="medium">
        <color rgb="FF1B2631"/>
      </right>
      <top style="medium">
        <color rgb="FF1B2631"/>
      </top>
      <bottom/>
      <diagonal/>
    </border>
    <border>
      <left style="medium">
        <color rgb="FF1B2631"/>
      </left>
      <right/>
      <top/>
      <bottom/>
      <diagonal/>
    </border>
    <border>
      <left/>
      <right/>
      <top/>
      <bottom/>
      <diagonal/>
    </border>
    <border>
      <left/>
      <right style="medium">
        <color rgb="FF1B2631"/>
      </right>
      <top/>
      <bottom/>
      <diagonal/>
    </border>
    <border>
      <left style="medium">
        <color rgb="FF1B2631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medium">
        <color rgb="FF1B2631"/>
      </right>
      <top style="thin">
        <color rgb="FFD5D8DC"/>
      </top>
      <bottom style="thin">
        <color rgb="FFD5D8DC"/>
      </bottom>
      <diagonal/>
    </border>
    <border>
      <left style="medium">
        <color rgb="FF1B2631"/>
      </left>
      <right style="thin">
        <color rgb="FFD5D8DC"/>
      </right>
      <top style="thin">
        <color rgb="FFD5D8DC"/>
      </top>
      <bottom style="medium">
        <color rgb="FF1B2631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medium">
        <color rgb="FF1B2631"/>
      </bottom>
      <diagonal/>
    </border>
    <border>
      <left style="thin">
        <color rgb="FFD5D8DC"/>
      </left>
      <right style="medium">
        <color rgb="FF1B2631"/>
      </right>
      <top style="thin">
        <color rgb="FFD5D8DC"/>
      </top>
      <bottom style="medium">
        <color rgb="FF1B2631"/>
      </bottom>
      <diagonal/>
    </border>
    <border>
      <left/>
      <right style="medium">
        <color rgb="FF1B2631"/>
      </right>
      <top/>
      <bottom style="medium">
        <color rgb="FF1B2631"/>
      </bottom>
      <diagonal/>
    </border>
    <border>
      <left style="medium">
        <color rgb="FF1B2631"/>
      </left>
      <right/>
      <top/>
      <bottom style="medium">
        <color rgb="FF1B2631"/>
      </bottom>
      <diagonal/>
    </border>
    <border>
      <left/>
      <right/>
      <top/>
      <bottom style="medium">
        <color rgb="FF1B263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/>
    <xf numFmtId="0" fontId="3" fillId="0" borderId="1" xfId="0" applyFont="1" applyBorder="1"/>
    <xf numFmtId="0" fontId="2" fillId="0" borderId="6" xfId="0" applyFont="1" applyBorder="1"/>
    <xf numFmtId="0" fontId="2" fillId="0" borderId="1" xfId="0" applyFont="1" applyBorder="1"/>
    <xf numFmtId="0" fontId="5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4" fontId="3" fillId="0" borderId="1" xfId="0" applyNumberFormat="1" applyFont="1" applyBorder="1"/>
    <xf numFmtId="164" fontId="3" fillId="0" borderId="9" xfId="0" applyNumberFormat="1" applyFont="1" applyBorder="1"/>
    <xf numFmtId="0" fontId="2" fillId="4" borderId="10" xfId="0" applyFont="1" applyFill="1" applyBorder="1" applyAlignment="1">
      <alignment horizontal="right" vertical="center"/>
    </xf>
    <xf numFmtId="164" fontId="2" fillId="4" borderId="11" xfId="0" applyNumberFormat="1" applyFont="1" applyFill="1" applyBorder="1"/>
    <xf numFmtId="164" fontId="2" fillId="4" borderId="12" xfId="0" applyNumberFormat="1" applyFont="1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" fontId="0" fillId="0" borderId="6" xfId="0" applyNumberFormat="1" applyBorder="1"/>
    <xf numFmtId="164" fontId="0" fillId="0" borderId="6" xfId="0" applyNumberFormat="1" applyBorder="1"/>
    <xf numFmtId="0" fontId="3" fillId="0" borderId="8" xfId="0" applyFont="1" applyBorder="1"/>
    <xf numFmtId="4" fontId="2" fillId="4" borderId="11" xfId="0" applyNumberFormat="1" applyFont="1" applyFill="1" applyBorder="1"/>
    <xf numFmtId="0" fontId="2" fillId="4" borderId="11" xfId="0" applyFont="1" applyFill="1" applyBorder="1" applyAlignment="1">
      <alignment horizontal="center"/>
    </xf>
    <xf numFmtId="0" fontId="0" fillId="0" borderId="13" xfId="0" applyBorder="1"/>
    <xf numFmtId="164" fontId="0" fillId="0" borderId="7" xfId="0" applyNumberFormat="1" applyBorder="1"/>
    <xf numFmtId="0" fontId="0" fillId="0" borderId="14" xfId="0" applyBorder="1"/>
    <xf numFmtId="0" fontId="0" fillId="0" borderId="15" xfId="0" applyBorder="1"/>
    <xf numFmtId="0" fontId="3" fillId="0" borderId="10" xfId="0" applyFont="1" applyBorder="1"/>
    <xf numFmtId="0" fontId="3" fillId="0" borderId="11" xfId="0" applyFont="1" applyBorder="1"/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3" borderId="5" xfId="0" applyFont="1" applyFill="1" applyBorder="1" applyAlignment="1">
      <alignment horizontal="left" vertical="center" indent="1"/>
    </xf>
    <xf numFmtId="0" fontId="0" fillId="0" borderId="6" xfId="0" applyBorder="1"/>
    <xf numFmtId="0" fontId="0" fillId="0" borderId="7" xfId="0" applyBorder="1"/>
    <xf numFmtId="0" fontId="5" fillId="6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 indent="1"/>
    </xf>
    <xf numFmtId="0" fontId="5" fillId="11" borderId="6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7" borderId="6" xfId="0" applyFont="1" applyFill="1" applyBorder="1" applyAlignment="1">
      <alignment horizontal="center" vertical="center"/>
    </xf>
    <xf numFmtId="0" fontId="5" fillId="18" borderId="6" xfId="0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/>
    <xf numFmtId="0" fontId="5" fillId="7" borderId="6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"/>
  <sheetViews>
    <sheetView workbookViewId="0">
      <selection activeCell="B11" sqref="B11"/>
    </sheetView>
  </sheetViews>
  <sheetFormatPr defaultRowHeight="14.4" x14ac:dyDescent="0.3"/>
  <cols>
    <col min="1" max="1" width="26" customWidth="1"/>
    <col min="2" max="2" width="22" customWidth="1"/>
    <col min="3" max="5" width="24" customWidth="1"/>
    <col min="6" max="6" width="22" customWidth="1"/>
    <col min="7" max="7" width="28" customWidth="1"/>
  </cols>
  <sheetData>
    <row r="1" spans="1:7" ht="40.049999999999997" customHeight="1" x14ac:dyDescent="0.3">
      <c r="A1" s="32" t="inlineStr">
        <is>
          <t xml:space="preserve">CEPHEPRO - 15 DÖNEMLİ TAŞERON HAKEDİŞ VE FİNANSAL GENEL ÖZET</t>
        </is>
      </c>
      <c r="B1" s="33"/>
      <c r="C1" s="33"/>
      <c r="D1" s="33"/>
      <c r="E1" s="33"/>
      <c r="F1" s="33"/>
      <c r="G1" s="34"/>
    </row>
    <row r="2" spans="1:7" x14ac:dyDescent="0.3">
      <c r="A2" s="1"/>
      <c r="B2" s="2"/>
      <c r="C2" s="2"/>
      <c r="D2" s="2"/>
      <c r="E2" s="2"/>
      <c r="F2" s="2"/>
      <c r="G2" s="3"/>
    </row>
    <row r="3" spans="1:7" ht="19.95" customHeight="1" x14ac:dyDescent="0.3">
      <c r="A3" s="4" t="inlineStr">
        <is>
          <t xml:space="preserve">Proje / Şantiye:</t>
        </is>
      </c>
      <c r="B3" s="5"/>
      <c r="C3" s="2"/>
      <c r="D3" s="6" t="inlineStr">
        <is>
          <t xml:space="preserve">Taşeron Firma:</t>
        </is>
      </c>
      <c r="E3" s="7"/>
      <c r="F3" s="2"/>
      <c r="G3" s="3"/>
    </row>
    <row r="4" spans="1:7" ht="19.95" customHeight="1" x14ac:dyDescent="0.3">
      <c r="A4" s="4" t="inlineStr">
        <is>
          <t xml:space="preserve">İşin Adı:</t>
        </is>
      </c>
      <c r="B4" s="5"/>
      <c r="C4" s="2"/>
      <c r="D4" s="6" t="inlineStr">
        <is>
          <t xml:space="preserve">Sözleşme Tarihi:</t>
        </is>
      </c>
      <c r="E4" s="7"/>
      <c r="F4" s="2"/>
      <c r="G4" s="3"/>
    </row>
    <row r="5" spans="1:7" ht="19.95" customHeight="1" x14ac:dyDescent="0.3">
      <c r="A5" s="4" t="inlineStr">
        <is>
          <t xml:space="preserve">Hakediş Dönemleri:</t>
        </is>
      </c>
      <c r="B5" s="5" t="inlineStr">
        <is>
          <t xml:space="preserve">1. - 15. Hakediş Dönemleri (Revize Fiyat Destekli)</t>
        </is>
      </c>
      <c r="C5" s="2"/>
      <c r="D5" s="6" t="inlineStr">
        <is>
          <t xml:space="preserve">Para Birimi:</t>
        </is>
      </c>
      <c r="E5" s="7" t="inlineStr">
        <is>
          <t xml:space="preserve">Türk Lirası (TL)</t>
        </is>
      </c>
      <c r="F5" s="2"/>
      <c r="G5" s="3"/>
    </row>
    <row r="6" spans="1:7" x14ac:dyDescent="0.3">
      <c r="A6" s="1"/>
      <c r="B6" s="2"/>
      <c r="C6" s="2"/>
      <c r="D6" s="2"/>
      <c r="E6" s="2"/>
      <c r="F6" s="2"/>
      <c r="G6" s="3"/>
    </row>
    <row r="7" spans="1:7" ht="25.05" customHeight="1" x14ac:dyDescent="0.3">
      <c r="A7" s="35" t="inlineStr">
        <is>
          <t xml:space="preserve">15 DÖNEMLİ HAKEDİŞLER BAZINDA FİNANSAL İCMAL VE TEMİNAT HESABI</t>
        </is>
      </c>
      <c r="B7" s="36"/>
      <c r="C7" s="36"/>
      <c r="D7" s="36"/>
      <c r="E7" s="36"/>
      <c r="F7" s="36"/>
      <c r="G7" s="37"/>
    </row>
    <row r="8" spans="1:7" ht="25.05" customHeight="1" x14ac:dyDescent="0.3">
      <c r="A8" s="8" t="inlineStr">
        <is>
          <t xml:space="preserve">Hakediş Dönemi</t>
        </is>
      </c>
      <c r="B8" s="9" t="inlineStr">
        <is>
          <t xml:space="preserve">Ana İmalat Tutarı (TL)</t>
        </is>
      </c>
      <c r="C8" s="9" t="inlineStr">
        <is>
          <t xml:space="preserve">Ek Tutanak / Ekstra (TL)</t>
        </is>
      </c>
      <c r="D8" s="9" t="inlineStr">
        <is>
          <t xml:space="preserve">Kesintiler &amp; Cezalar (TL)</t>
        </is>
      </c>
      <c r="E8" s="9" t="inlineStr">
        <is>
          <t xml:space="preserve">Brüt Toplam (Ana+Ek-Kes)</t>
        </is>
      </c>
      <c r="F8" s="9" t="inlineStr">
        <is>
          <t xml:space="preserve">Teminat Kesintisi (%10)</t>
        </is>
      </c>
      <c r="G8" s="10" t="inlineStr">
        <is>
          <t xml:space="preserve">Net Ödenecek Tutar (TL)</t>
        </is>
      </c>
    </row>
    <row r="9" spans="1:7" ht="22.05" customHeight="1" x14ac:dyDescent="0.3">
      <c r="A9" s="11" t="inlineStr">
        <is>
          <t xml:space="preserve">1. Hakediş Dönemi</t>
        </is>
      </c>
      <c r="B9" s="12">
        <f ca="1">SUM('Hakediş Takip'!L7:L30)</f>
      </c>
      <c r="C9" s="12">
        <f>SUMIF('Tutanak ve Ekler'!B6:B100, A9, 'Tutanak ve Ekler'!G6:G100)</f>
      </c>
      <c r="D9" s="12">
        <f>SUMIF(Kesintiler!B6:B100, A9, Kesintiler!G6:G100)</f>
      </c>
      <c r="E9" s="12">
        <f t="shared" ref="E9:E23" ca="1" si="0">B9+C9-D9</f>
      </c>
      <c r="F9" s="12">
        <f t="shared" ref="F9:F23" ca="1" si="1">E9*0.1</f>
      </c>
      <c r="G9" s="13">
        <f t="shared" ref="G9:G23" ca="1" si="2">E9-F9</f>
      </c>
    </row>
    <row r="10" spans="1:7" ht="22.05" customHeight="1" x14ac:dyDescent="0.3">
      <c r="A10" s="11" t="inlineStr">
        <is>
          <t xml:space="preserve">2. Hakediş Dönemi</t>
        </is>
      </c>
      <c r="B10" s="12">
        <f ca="1">SUM('Hakediş Takip'!P7:P30)</f>
      </c>
      <c r="C10" s="12">
        <f>SUMIF('Tutanak ve Ekler'!B6:B100, A10, 'Tutanak ve Ekler'!G6:G100)</f>
      </c>
      <c r="D10" s="12">
        <f>SUMIF(Kesintiler!B6:B100, A10, Kesintiler!G6:G100)</f>
      </c>
      <c r="E10" s="12">
        <f t="shared" ca="1" si="0"/>
      </c>
      <c r="F10" s="12">
        <f t="shared" ca="1" si="1"/>
      </c>
      <c r="G10" s="13">
        <f t="shared" ca="1" si="2"/>
      </c>
    </row>
    <row r="11" spans="1:7" ht="22.05" customHeight="1" x14ac:dyDescent="0.3">
      <c r="A11" s="11" t="inlineStr">
        <is>
          <t xml:space="preserve">3. Hakediş Dönemi</t>
        </is>
      </c>
      <c r="B11" s="12">
        <f ca="1">SUM('Hakediş Takip'!T7:T30)</f>
      </c>
      <c r="C11" s="12">
        <f>SUMIF('Tutanak ve Ekler'!B6:B100, A11, 'Tutanak ve Ekler'!G6:G100)</f>
      </c>
      <c r="D11" s="12">
        <f>SUMIF(Kesintiler!B6:B100, A11, Kesintiler!G6:G100)</f>
      </c>
      <c r="E11" s="12">
        <f t="shared" ca="1" si="0"/>
      </c>
      <c r="F11" s="12">
        <f t="shared" ca="1" si="1"/>
      </c>
      <c r="G11" s="13">
        <f t="shared" ca="1" si="2"/>
      </c>
    </row>
    <row r="12" spans="1:7" ht="22.05" customHeight="1" x14ac:dyDescent="0.3">
      <c r="A12" s="11" t="inlineStr">
        <is>
          <t xml:space="preserve">4. Hakediş Dönemi</t>
        </is>
      </c>
      <c r="B12" s="12">
        <f ca="1">SUM('Hakediş Takip'!X7:X30)</f>
      </c>
      <c r="C12" s="12">
        <f>SUMIF('Tutanak ve Ekler'!B6:B100, A12, 'Tutanak ve Ekler'!G6:G100)</f>
      </c>
      <c r="D12" s="12">
        <f>SUMIF(Kesintiler!B6:B100, A12, Kesintiler!G6:G100)</f>
      </c>
      <c r="E12" s="12">
        <f t="shared" ca="1" si="0"/>
      </c>
      <c r="F12" s="12">
        <f t="shared" ca="1" si="1"/>
      </c>
      <c r="G12" s="13">
        <f t="shared" ca="1" si="2"/>
      </c>
    </row>
    <row r="13" spans="1:7" ht="22.05" customHeight="1" x14ac:dyDescent="0.3">
      <c r="A13" s="11" t="inlineStr">
        <is>
          <t xml:space="preserve">5. Hakediş Dönemi</t>
        </is>
      </c>
      <c r="B13" s="12">
        <f ca="1">SUM('Hakediş Takip'!AB7:AB30)</f>
      </c>
      <c r="C13" s="12">
        <f>SUMIF('Tutanak ve Ekler'!B6:B100, A13, 'Tutanak ve Ekler'!G6:G100)</f>
      </c>
      <c r="D13" s="12">
        <f>SUMIF(Kesintiler!B6:B100, A13, Kesintiler!G6:G100)</f>
      </c>
      <c r="E13" s="12">
        <f t="shared" ca="1" si="0"/>
      </c>
      <c r="F13" s="12">
        <f t="shared" ca="1" si="1"/>
      </c>
      <c r="G13" s="13">
        <f t="shared" ca="1" si="2"/>
      </c>
    </row>
    <row r="14" spans="1:7" ht="22.05" customHeight="1" x14ac:dyDescent="0.3">
      <c r="A14" s="11" t="inlineStr">
        <is>
          <t xml:space="preserve">6. Hakediş Dönemi</t>
        </is>
      </c>
      <c r="B14" s="12">
        <f ca="1">SUM('Hakediş Takip'!AF7:AF30)</f>
      </c>
      <c r="C14" s="12">
        <f>SUMIF('Tutanak ve Ekler'!B6:B100, A14, 'Tutanak ve Ekler'!G6:G100)</f>
      </c>
      <c r="D14" s="12">
        <f>SUMIF(Kesintiler!B6:B100, A14, Kesintiler!G6:G100)</f>
      </c>
      <c r="E14" s="12">
        <f t="shared" ca="1" si="0"/>
      </c>
      <c r="F14" s="12">
        <f t="shared" ca="1" si="1"/>
      </c>
      <c r="G14" s="13">
        <f t="shared" ca="1" si="2"/>
      </c>
    </row>
    <row r="15" spans="1:7" ht="22.05" customHeight="1" x14ac:dyDescent="0.3">
      <c r="A15" s="11" t="inlineStr">
        <is>
          <t xml:space="preserve">7. Hakediş Dönemi</t>
        </is>
      </c>
      <c r="B15" s="12">
        <f ca="1">SUM('Hakediş Takip'!AJ7:AJ30)</f>
      </c>
      <c r="C15" s="12">
        <f>SUMIF('Tutanak ve Ekler'!B6:B100, A15, 'Tutanak ve Ekler'!G6:G100)</f>
      </c>
      <c r="D15" s="12">
        <f>SUMIF(Kesintiler!B6:B100, A15, Kesintiler!G6:G100)</f>
      </c>
      <c r="E15" s="12">
        <f t="shared" ca="1" si="0"/>
      </c>
      <c r="F15" s="12">
        <f t="shared" ca="1" si="1"/>
      </c>
      <c r="G15" s="13">
        <f t="shared" ca="1" si="2"/>
      </c>
    </row>
    <row r="16" spans="1:7" ht="22.05" customHeight="1" x14ac:dyDescent="0.3">
      <c r="A16" s="11" t="inlineStr">
        <is>
          <t xml:space="preserve">8. Hakediş Dönemi</t>
        </is>
      </c>
      <c r="B16" s="12">
        <f ca="1">SUM('Hakediş Takip'!AN7:AN30)</f>
      </c>
      <c r="C16" s="12">
        <f>SUMIF('Tutanak ve Ekler'!B6:B100, A16, 'Tutanak ve Ekler'!G6:G100)</f>
      </c>
      <c r="D16" s="12">
        <f>SUMIF(Kesintiler!B6:B100, A16, Kesintiler!G6:G100)</f>
      </c>
      <c r="E16" s="12">
        <f t="shared" ca="1" si="0"/>
      </c>
      <c r="F16" s="12">
        <f t="shared" ca="1" si="1"/>
      </c>
      <c r="G16" s="13">
        <f t="shared" ca="1" si="2"/>
      </c>
    </row>
    <row r="17" spans="1:7" ht="22.05" customHeight="1" x14ac:dyDescent="0.3">
      <c r="A17" s="11" t="inlineStr">
        <is>
          <t xml:space="preserve">9. Hakediş Dönemi</t>
        </is>
      </c>
      <c r="B17" s="12">
        <f ca="1">SUM('Hakediş Takip'!AR7:AR30)</f>
      </c>
      <c r="C17" s="12">
        <f>SUMIF('Tutanak ve Ekler'!B6:B100, A17, 'Tutanak ve Ekler'!G6:G100)</f>
      </c>
      <c r="D17" s="12">
        <f>SUMIF(Kesintiler!B6:B100, A17, Kesintiler!G6:G100)</f>
      </c>
      <c r="E17" s="12">
        <f t="shared" ca="1" si="0"/>
      </c>
      <c r="F17" s="12">
        <f t="shared" ca="1" si="1"/>
      </c>
      <c r="G17" s="13">
        <f t="shared" ca="1" si="2"/>
      </c>
    </row>
    <row r="18" spans="1:7" ht="22.05" customHeight="1" x14ac:dyDescent="0.3">
      <c r="A18" s="11" t="inlineStr">
        <is>
          <t xml:space="preserve">10. Hakediş Dönemi</t>
        </is>
      </c>
      <c r="B18" s="12">
        <f ca="1">SUM('Hakediş Takip'!AV7:AV30)</f>
      </c>
      <c r="C18" s="12">
        <f>SUMIF('Tutanak ve Ekler'!B6:B100, A18, 'Tutanak ve Ekler'!G6:G100)</f>
      </c>
      <c r="D18" s="12">
        <f>SUMIF(Kesintiler!B6:B100, A18, Kesintiler!G6:G100)</f>
      </c>
      <c r="E18" s="12">
        <f t="shared" ca="1" si="0"/>
      </c>
      <c r="F18" s="12">
        <f t="shared" ca="1" si="1"/>
      </c>
      <c r="G18" s="13">
        <f t="shared" ca="1" si="2"/>
      </c>
    </row>
    <row r="19" spans="1:7" ht="22.05" customHeight="1" x14ac:dyDescent="0.3">
      <c r="A19" s="11" t="inlineStr">
        <is>
          <t xml:space="preserve">11. Hakediş Dönemi</t>
        </is>
      </c>
      <c r="B19" s="12">
        <f ca="1">SUM('Hakediş Takip'!AZ7:AZ30)</f>
      </c>
      <c r="C19" s="12">
        <f>SUMIF('Tutanak ve Ekler'!B6:B100, A19, 'Tutanak ve Ekler'!G6:G100)</f>
      </c>
      <c r="D19" s="12">
        <f>SUMIF(Kesintiler!B6:B100, A19, Kesintiler!G6:G100)</f>
      </c>
      <c r="E19" s="12">
        <f t="shared" ca="1" si="0"/>
      </c>
      <c r="F19" s="12">
        <f t="shared" ca="1" si="1"/>
      </c>
      <c r="G19" s="13">
        <f t="shared" ca="1" si="2"/>
      </c>
    </row>
    <row r="20" spans="1:7" ht="22.05" customHeight="1" x14ac:dyDescent="0.3">
      <c r="A20" s="11" t="inlineStr">
        <is>
          <t xml:space="preserve">12. Hakediş Dönemi</t>
        </is>
      </c>
      <c r="B20" s="12">
        <f ca="1">SUM('Hakediş Takip'!BD7:BD30)</f>
      </c>
      <c r="C20" s="12">
        <f>SUMIF('Tutanak ve Ekler'!B6:B100, A20, 'Tutanak ve Ekler'!G6:G100)</f>
      </c>
      <c r="D20" s="12">
        <f>SUMIF(Kesintiler!B6:B100, A20, Kesintiler!G6:G100)</f>
      </c>
      <c r="E20" s="12">
        <f t="shared" ca="1" si="0"/>
      </c>
      <c r="F20" s="12">
        <f t="shared" ca="1" si="1"/>
      </c>
      <c r="G20" s="13">
        <f t="shared" ca="1" si="2"/>
      </c>
    </row>
    <row r="21" spans="1:7" ht="22.05" customHeight="1" x14ac:dyDescent="0.3">
      <c r="A21" s="11" t="inlineStr">
        <is>
          <t xml:space="preserve">13. Hakediş Dönemi</t>
        </is>
      </c>
      <c r="B21" s="12">
        <f ca="1">SUM('Hakediş Takip'!BH7:BH30)</f>
      </c>
      <c r="C21" s="12">
        <f>SUMIF('Tutanak ve Ekler'!B6:B100, A21, 'Tutanak ve Ekler'!G6:G100)</f>
      </c>
      <c r="D21" s="12">
        <f>SUMIF(Kesintiler!B6:B100, A21, Kesintiler!G6:G100)</f>
      </c>
      <c r="E21" s="12">
        <f t="shared" ca="1" si="0"/>
      </c>
      <c r="F21" s="12">
        <f t="shared" ca="1" si="1"/>
      </c>
      <c r="G21" s="13">
        <f t="shared" ca="1" si="2"/>
      </c>
    </row>
    <row r="22" spans="1:7" ht="22.05" customHeight="1" x14ac:dyDescent="0.3">
      <c r="A22" s="11" t="inlineStr">
        <is>
          <t xml:space="preserve">14. Hakediş Dönemi</t>
        </is>
      </c>
      <c r="B22" s="12">
        <f ca="1">SUM('Hakediş Takip'!BL7:BL30)</f>
      </c>
      <c r="C22" s="12">
        <f>SUMIF('Tutanak ve Ekler'!B6:B100, A22, 'Tutanak ve Ekler'!G6:G100)</f>
      </c>
      <c r="D22" s="12">
        <f>SUMIF(Kesintiler!B6:B100, A22, Kesintiler!G6:G100)</f>
      </c>
      <c r="E22" s="12">
        <f t="shared" ca="1" si="0"/>
      </c>
      <c r="F22" s="12">
        <f t="shared" ca="1" si="1"/>
      </c>
      <c r="G22" s="13">
        <f t="shared" ca="1" si="2"/>
      </c>
    </row>
    <row r="23" spans="1:7" ht="22.05" customHeight="1" x14ac:dyDescent="0.3">
      <c r="A23" s="11" t="inlineStr">
        <is>
          <t xml:space="preserve">15. Hakediş Dönemi</t>
        </is>
      </c>
      <c r="B23" s="12">
        <f ca="1">SUM('Hakediş Takip'!BP7:BP30)</f>
      </c>
      <c r="C23" s="12">
        <f>SUMIF('Tutanak ve Ekler'!B6:B100, A23, 'Tutanak ve Ekler'!G6:G100)</f>
      </c>
      <c r="D23" s="12">
        <f>SUMIF(Kesintiler!B6:B100, A23, Kesintiler!G6:G100)</f>
      </c>
      <c r="E23" s="12">
        <f t="shared" ca="1" si="0"/>
      </c>
      <c r="F23" s="12">
        <f t="shared" ca="1" si="1"/>
      </c>
      <c r="G23" s="13">
        <f t="shared" ca="1" si="2"/>
      </c>
    </row>
    <row r="24" spans="1:7" ht="25.05" customHeight="1" x14ac:dyDescent="0.3">
      <c r="A24" s="14" t="inlineStr">
        <is>
          <t xml:space="preserve">TOPLAM KÜMÜLATİF HAKEDİŞ (1 - 15)</t>
        </is>
      </c>
      <c r="B24" s="15">
        <f t="shared" ref="B24:G24" ca="1" si="3">SUM(B9:B23)</f>
      </c>
      <c r="C24" s="15">
        <f t="shared" si="3"/>
      </c>
      <c r="D24" s="15">
        <f t="shared" si="3"/>
      </c>
      <c r="E24" s="15">
        <f t="shared" ca="1" si="3"/>
      </c>
      <c r="F24" s="15">
        <f t="shared" ca="1" si="3"/>
      </c>
      <c r="G24" s="16">
        <f t="shared" ca="1" si="3"/>
      </c>
    </row>
  </sheetData>
  <mergeCells count="2">
    <mergeCell ref="A1:G1"/>
    <mergeCell ref="A7:G7"/>
  </mergeCell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Q31"/>
  <sheetViews>
    <sheetView workbookViewId="0">
      <pane xSplit="7" ySplit="6" topLeftCell="H7" activePane="bottomRight" state="frozen"/>
      <selection pane="topRight"/>
      <selection pane="bottomLeft"/>
      <selection pane="bottomRight" activeCell="K8" sqref="K8"/>
    </sheetView>
  </sheetViews>
  <sheetFormatPr defaultRowHeight="14.4" x14ac:dyDescent="0.3"/>
  <cols>
    <col min="1" max="1" width="10" customWidth="1"/>
    <col min="2" max="2" width="12" customWidth="1"/>
    <col min="3" max="3" width="24" customWidth="1"/>
    <col min="4" max="4" width="14" customWidth="1"/>
    <col min="5" max="5" width="10" customWidth="1"/>
    <col min="6" max="6" width="16" customWidth="1"/>
    <col min="7" max="68" width="14" customWidth="1"/>
  </cols>
  <sheetData>
    <row r="1" spans="1:69" ht="40.049999999999997" customHeight="1" x14ac:dyDescent="0.3">
      <c r="A1" s="32" t="inlineStr">
        <is>
          <t xml:space="preserve">15 DÖNEMLİ TAŞERON HAKEDİŞ VE METRAJ TAKİP SİSTEMİ</t>
        </is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4"/>
    </row>
    <row r="2" spans="1:69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3"/>
    </row>
    <row r="3" spans="1:69" ht="19.95" customHeight="1" x14ac:dyDescent="0.3">
      <c r="A3" s="40" t="inlineStr">
        <is>
          <t xml:space="preserve">💡 AÇIKLAMA: İş kalemi yazıldığında Poz No ve dönemlere ait Birim Fiyatlar 'Birim Fiyat Master' sayfasından revizyon kurallarına göre otomatik gelir. A - G sütunları dondurulmuştur.</t>
        </is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7"/>
    </row>
    <row r="4" spans="1:69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3"/>
    </row>
    <row r="5" spans="1:69" ht="25.05" customHeight="1" x14ac:dyDescent="0.3">
      <c r="A5" s="1"/>
      <c r="B5" s="2"/>
      <c r="C5" s="2"/>
      <c r="D5" s="2"/>
      <c r="E5" s="2"/>
      <c r="F5" s="2"/>
      <c r="G5" s="2"/>
      <c r="H5" s="2"/>
      <c r="I5" s="55" t="inlineStr">
        <is>
          <t xml:space="preserve">1. Hakediş Dönemi</t>
        </is>
      </c>
      <c r="J5" s="36"/>
      <c r="K5" s="36"/>
      <c r="L5" s="36"/>
      <c r="M5" s="38" t="inlineStr">
        <is>
          <t xml:space="preserve">2. Hakediş Dönemi</t>
        </is>
      </c>
      <c r="N5" s="36"/>
      <c r="O5" s="36"/>
      <c r="P5" s="36"/>
      <c r="Q5" s="52" t="inlineStr">
        <is>
          <t xml:space="preserve">3. Hakediş Dönemi</t>
        </is>
      </c>
      <c r="R5" s="36"/>
      <c r="S5" s="36"/>
      <c r="T5" s="36"/>
      <c r="U5" s="53" t="inlineStr">
        <is>
          <t xml:space="preserve">4. Hakediş Dönemi</t>
        </is>
      </c>
      <c r="V5" s="36"/>
      <c r="W5" s="36"/>
      <c r="X5" s="36"/>
      <c r="Y5" s="54" t="inlineStr">
        <is>
          <t xml:space="preserve">5. Hakediş Dönemi</t>
        </is>
      </c>
      <c r="Z5" s="36"/>
      <c r="AA5" s="36"/>
      <c r="AB5" s="36"/>
      <c r="AC5" s="39" t="inlineStr">
        <is>
          <t xml:space="preserve">6. Hakediş Dönemi</t>
        </is>
      </c>
      <c r="AD5" s="36"/>
      <c r="AE5" s="36"/>
      <c r="AF5" s="36"/>
      <c r="AG5" s="41" t="inlineStr">
        <is>
          <t xml:space="preserve">7. Hakediş Dönemi</t>
        </is>
      </c>
      <c r="AH5" s="36"/>
      <c r="AI5" s="36"/>
      <c r="AJ5" s="36"/>
      <c r="AK5" s="42" t="inlineStr">
        <is>
          <t xml:space="preserve">8. Hakediş Dönemi</t>
        </is>
      </c>
      <c r="AL5" s="36"/>
      <c r="AM5" s="36"/>
      <c r="AN5" s="36"/>
      <c r="AO5" s="45" t="inlineStr">
        <is>
          <t xml:space="preserve">9. Hakediş Dönemi</t>
        </is>
      </c>
      <c r="AP5" s="36"/>
      <c r="AQ5" s="36"/>
      <c r="AR5" s="36"/>
      <c r="AS5" s="49" t="inlineStr">
        <is>
          <t xml:space="preserve">10. Hakediş Dönemi</t>
        </is>
      </c>
      <c r="AT5" s="36"/>
      <c r="AU5" s="36"/>
      <c r="AV5" s="36"/>
      <c r="AW5" s="44" t="inlineStr">
        <is>
          <t xml:space="preserve">11. Hakediş Dönemi</t>
        </is>
      </c>
      <c r="AX5" s="36"/>
      <c r="AY5" s="36"/>
      <c r="AZ5" s="36"/>
      <c r="BA5" s="43" t="inlineStr">
        <is>
          <t xml:space="preserve">12. Hakediş Dönemi</t>
        </is>
      </c>
      <c r="BB5" s="36"/>
      <c r="BC5" s="36"/>
      <c r="BD5" s="36"/>
      <c r="BE5" s="46" t="inlineStr">
        <is>
          <t xml:space="preserve">13. Hakediş Dönemi</t>
        </is>
      </c>
      <c r="BF5" s="36"/>
      <c r="BG5" s="36"/>
      <c r="BH5" s="36"/>
      <c r="BI5" s="47" t="inlineStr">
        <is>
          <t xml:space="preserve">14. Hakediş Dönemi</t>
        </is>
      </c>
      <c r="BJ5" s="36"/>
      <c r="BK5" s="36"/>
      <c r="BL5" s="36"/>
      <c r="BM5" s="48" t="inlineStr">
        <is>
          <t xml:space="preserve">15. Hakediş Dönemi</t>
        </is>
      </c>
      <c r="BN5" s="36"/>
      <c r="BO5" s="36"/>
      <c r="BP5" s="36"/>
      <c r="BQ5" s="3"/>
    </row>
    <row r="6" spans="1:69" ht="30" customHeight="1" x14ac:dyDescent="0.3">
      <c r="A6" s="8" t="inlineStr">
        <is>
          <t xml:space="preserve">Blok</t>
        </is>
      </c>
      <c r="B6" s="9" t="inlineStr">
        <is>
          <t xml:space="preserve">Cephe</t>
        </is>
      </c>
      <c r="C6" s="9" t="inlineStr">
        <is>
          <t xml:space="preserve">İş Kalemi</t>
        </is>
      </c>
      <c r="D6" s="9" t="inlineStr">
        <is>
          <t xml:space="preserve">Poz No</t>
        </is>
      </c>
      <c r="E6" s="9" t="inlineStr">
        <is>
          <t xml:space="preserve">Birim</t>
        </is>
      </c>
      <c r="F6" s="9" t="inlineStr">
        <is>
          <t xml:space="preserve">Sözleşme Miktarı</t>
        </is>
      </c>
      <c r="G6" s="9" t="inlineStr">
        <is>
          <t xml:space="preserve">Kalan Miktar</t>
        </is>
      </c>
      <c r="H6" s="9" t="inlineStr">
        <is>
          <t xml:space="preserve">Önceki Küm.</t>
        </is>
      </c>
      <c r="I6" s="9" t="inlineStr">
        <is>
          <t xml:space="preserve">1.Dönem Miktar</t>
        </is>
      </c>
      <c r="J6" s="9" t="inlineStr">
        <is>
          <t xml:space="preserve">1.Dönem Küm.</t>
        </is>
      </c>
      <c r="K6" s="9" t="inlineStr">
        <is>
          <t xml:space="preserve">1.Dönem Birim Fiyat</t>
        </is>
      </c>
      <c r="L6" s="9" t="inlineStr">
        <is>
          <t xml:space="preserve">1.Dönem Tutar</t>
        </is>
      </c>
      <c r="M6" s="9" t="inlineStr">
        <is>
          <t xml:space="preserve">2.Dönem Miktar</t>
        </is>
      </c>
      <c r="N6" s="9" t="inlineStr">
        <is>
          <t xml:space="preserve">2.Dönem Küm.</t>
        </is>
      </c>
      <c r="O6" s="9" t="inlineStr">
        <is>
          <t xml:space="preserve">2.Dönem Birim Fiyat</t>
        </is>
      </c>
      <c r="P6" s="9" t="inlineStr">
        <is>
          <t xml:space="preserve">2.Dönem Tutar</t>
        </is>
      </c>
      <c r="Q6" s="9" t="inlineStr">
        <is>
          <t xml:space="preserve">3.Dönem Miktar</t>
        </is>
      </c>
      <c r="R6" s="9" t="inlineStr">
        <is>
          <t xml:space="preserve">3.Dönem Küm.</t>
        </is>
      </c>
      <c r="S6" s="9" t="inlineStr">
        <is>
          <t xml:space="preserve">3.Dönem Birim Fiyat</t>
        </is>
      </c>
      <c r="T6" s="9" t="inlineStr">
        <is>
          <t xml:space="preserve">3.Dönem Tutar</t>
        </is>
      </c>
      <c r="U6" s="9" t="inlineStr">
        <is>
          <t xml:space="preserve">4.Dönem Miktar</t>
        </is>
      </c>
      <c r="V6" s="9" t="inlineStr">
        <is>
          <t xml:space="preserve">4.Dönem Küm.</t>
        </is>
      </c>
      <c r="W6" s="9" t="inlineStr">
        <is>
          <t xml:space="preserve">4.Dönem Birim Fiyat</t>
        </is>
      </c>
      <c r="X6" s="9" t="inlineStr">
        <is>
          <t xml:space="preserve">4.Dönem Tutar</t>
        </is>
      </c>
      <c r="Y6" s="9" t="inlineStr">
        <is>
          <t xml:space="preserve">5.Dönem Miktar</t>
        </is>
      </c>
      <c r="Z6" s="9" t="inlineStr">
        <is>
          <t xml:space="preserve">5.Dönem Küm.</t>
        </is>
      </c>
      <c r="AA6" s="9" t="inlineStr">
        <is>
          <t xml:space="preserve">5.Dönem Birim Fiyat</t>
        </is>
      </c>
      <c r="AB6" s="9" t="inlineStr">
        <is>
          <t xml:space="preserve">5.Dönem Tutar</t>
        </is>
      </c>
      <c r="AC6" s="9" t="inlineStr">
        <is>
          <t xml:space="preserve">6.Dönem Miktar</t>
        </is>
      </c>
      <c r="AD6" s="9" t="inlineStr">
        <is>
          <t xml:space="preserve">6.Dönem Küm.</t>
        </is>
      </c>
      <c r="AE6" s="9" t="inlineStr">
        <is>
          <t xml:space="preserve">6.Dönem Birim Fiyat</t>
        </is>
      </c>
      <c r="AF6" s="9" t="inlineStr">
        <is>
          <t xml:space="preserve">6.Dönem Tutar</t>
        </is>
      </c>
      <c r="AG6" s="9" t="inlineStr">
        <is>
          <t xml:space="preserve">7.Dönem Miktar</t>
        </is>
      </c>
      <c r="AH6" s="9" t="inlineStr">
        <is>
          <t xml:space="preserve">7.Dönem Küm.</t>
        </is>
      </c>
      <c r="AI6" s="9" t="inlineStr">
        <is>
          <t xml:space="preserve">7.Dönem Birim Fiyat</t>
        </is>
      </c>
      <c r="AJ6" s="9" t="inlineStr">
        <is>
          <t xml:space="preserve">7.Dönem Tutar</t>
        </is>
      </c>
      <c r="AK6" s="9" t="inlineStr">
        <is>
          <t xml:space="preserve">8.Dönem Miktar</t>
        </is>
      </c>
      <c r="AL6" s="9" t="inlineStr">
        <is>
          <t xml:space="preserve">8.Dönem Küm.</t>
        </is>
      </c>
      <c r="AM6" s="9" t="inlineStr">
        <is>
          <t xml:space="preserve">8.Dönem Birim Fiyat</t>
        </is>
      </c>
      <c r="AN6" s="9" t="inlineStr">
        <is>
          <t xml:space="preserve">8.Dönem Tutar</t>
        </is>
      </c>
      <c r="AO6" s="9" t="inlineStr">
        <is>
          <t xml:space="preserve">9.Dönem Miktar</t>
        </is>
      </c>
      <c r="AP6" s="9" t="inlineStr">
        <is>
          <t xml:space="preserve">9.Dönem Küm.</t>
        </is>
      </c>
      <c r="AQ6" s="9" t="inlineStr">
        <is>
          <t xml:space="preserve">9.Dönem Birim Fiyat</t>
        </is>
      </c>
      <c r="AR6" s="9" t="inlineStr">
        <is>
          <t xml:space="preserve">9.Dönem Tutar</t>
        </is>
      </c>
      <c r="AS6" s="9" t="inlineStr">
        <is>
          <t xml:space="preserve">10.Dönem Miktar</t>
        </is>
      </c>
      <c r="AT6" s="9" t="inlineStr">
        <is>
          <t xml:space="preserve">10.Dönem Küm.</t>
        </is>
      </c>
      <c r="AU6" s="9" t="inlineStr">
        <is>
          <t xml:space="preserve">10.Dönem Birim Fiyat</t>
        </is>
      </c>
      <c r="AV6" s="9" t="inlineStr">
        <is>
          <t xml:space="preserve">10.Dönem Tutar</t>
        </is>
      </c>
      <c r="AW6" s="9" t="inlineStr">
        <is>
          <t xml:space="preserve">11.Dönem Miktar</t>
        </is>
      </c>
      <c r="AX6" s="9" t="inlineStr">
        <is>
          <t xml:space="preserve">11.Dönem Küm.</t>
        </is>
      </c>
      <c r="AY6" s="9" t="inlineStr">
        <is>
          <t xml:space="preserve">11.Dönem Birim Fiyat</t>
        </is>
      </c>
      <c r="AZ6" s="9" t="inlineStr">
        <is>
          <t xml:space="preserve">11.Dönem Tutar</t>
        </is>
      </c>
      <c r="BA6" s="9" t="inlineStr">
        <is>
          <t xml:space="preserve">12.Dönem Miktar</t>
        </is>
      </c>
      <c r="BB6" s="9" t="inlineStr">
        <is>
          <t xml:space="preserve">12.Dönem Küm.</t>
        </is>
      </c>
      <c r="BC6" s="9" t="inlineStr">
        <is>
          <t xml:space="preserve">12.Dönem Birim Fiyat</t>
        </is>
      </c>
      <c r="BD6" s="9" t="inlineStr">
        <is>
          <t xml:space="preserve">12.Dönem Tutar</t>
        </is>
      </c>
      <c r="BE6" s="9" t="inlineStr">
        <is>
          <t xml:space="preserve">13.Dönem Miktar</t>
        </is>
      </c>
      <c r="BF6" s="9" t="inlineStr">
        <is>
          <t xml:space="preserve">13.Dönem Küm.</t>
        </is>
      </c>
      <c r="BG6" s="9" t="inlineStr">
        <is>
          <t xml:space="preserve">13.Dönem Birim Fiyat</t>
        </is>
      </c>
      <c r="BH6" s="9" t="inlineStr">
        <is>
          <t xml:space="preserve">13.Dönem Tutar</t>
        </is>
      </c>
      <c r="BI6" s="9" t="inlineStr">
        <is>
          <t xml:space="preserve">14.Dönem Miktar</t>
        </is>
      </c>
      <c r="BJ6" s="9" t="inlineStr">
        <is>
          <t xml:space="preserve">14.Dönem Küm.</t>
        </is>
      </c>
      <c r="BK6" s="9" t="inlineStr">
        <is>
          <t xml:space="preserve">14.Dönem Birim Fiyat</t>
        </is>
      </c>
      <c r="BL6" s="9" t="inlineStr">
        <is>
          <t xml:space="preserve">14.Dönem Tutar</t>
        </is>
      </c>
      <c r="BM6" s="9" t="inlineStr">
        <is>
          <t xml:space="preserve">15.Dönem Miktar</t>
        </is>
      </c>
      <c r="BN6" s="9" t="inlineStr">
        <is>
          <t xml:space="preserve">15.Dönem Küm.</t>
        </is>
      </c>
      <c r="BO6" s="9" t="inlineStr">
        <is>
          <t xml:space="preserve">15.Dönem Birim Fiyat</t>
        </is>
      </c>
      <c r="BP6" s="9" t="inlineStr">
        <is>
          <t xml:space="preserve">15.Dönem Tutar</t>
        </is>
      </c>
      <c r="BQ6" s="3"/>
    </row>
    <row r="7" spans="1:69" ht="22.05" customHeight="1" x14ac:dyDescent="0.3">
      <c r="A7" s="17"/>
      <c r="B7" s="18"/>
      <c r="C7" s="2"/>
      <c r="D7" s="18" t="str">
        <f>IFERROR(VLOOKUP(C7, 'Birim Fiyat Master'!A$6:M$30, 2, FALSE), "")</f>
      </c>
      <c r="E7" s="18" t="str">
        <f>IFERROR(VLOOKUP(C7, 'Birim Fiyat Master'!A$6:M$30, 3, FALSE), "")</f>
      </c>
      <c r="F7" s="19"/>
      <c r="G7" s="19">
        <f t="shared" ref="G7:G13" si="0">F7-BM7</f>
      </c>
      <c r="H7" s="19"/>
      <c r="I7" s="19"/>
      <c r="J7" s="19">
        <f>H7+I7</f>
      </c>
      <c r="K7" s="20">
        <f ca="1">IFERROR(IF(C7="", "", _xludf.IFS(1&gt;=IFERROR(VLOOKUP(C7, 'Birim Fiyat Master'!A$6:M$30, 13, FALSE), 99), VLOOKUP(C7, 'Birim Fiyat Master'!A$6:M$30, 12, FALSE), 1&gt;=IFERROR(VLOOKUP(C7, 'Birim Fiyat Master'!A$6:M$30, 11, FALSE), 99), VLOOKUP(C7, 'Birim Fiyat Master'!A$6:M$30, 10, FALSE), 1&gt;=IFERROR(VLOOKUP(C7, 'Birim Fiyat Master'!A$6:M$30, 9, FALSE), 99), VLOOKUP(C7, 'Birim Fiyat Master'!A$6:M$30, 8, FALSE), 1&gt;=IFERROR(VLOOKUP(C7, 'Birim Fiyat Master'!A$6:M$30, 7, FALSE), 99), VLOOKUP(C7, 'Birim Fiyat Master'!A$6:M$30, 6, FALSE), TRUE, VLOOKUP(C7, 'Birim Fiyat Master'!A$6:M$30, 4, FALSE))), VLOOKUP(C7, 'Birim Fiyat Master'!A$6:M$30, 4, FALSE))</f>
      </c>
      <c r="L7" s="20">
        <f t="shared" ref="L7:L13" ca="1" si="1">I7*K7</f>
      </c>
      <c r="M7" s="19"/>
      <c r="N7" s="19">
        <f t="shared" ref="N7:N13" si="2">J7+M7</f>
      </c>
      <c r="O7" s="20">
        <f ca="1">IFERROR(IF(C7="", "", _xludf.IFS(2&gt;=IFERROR(VLOOKUP(C7, 'Birim Fiyat Master'!A$6:M$30, 13, FALSE), 99), VLOOKUP(C7, 'Birim Fiyat Master'!A$6:M$30, 12, FALSE), 2&gt;=IFERROR(VLOOKUP(C7, 'Birim Fiyat Master'!A$6:M$30, 11, FALSE), 99), VLOOKUP(C7, 'Birim Fiyat Master'!A$6:M$30, 10, FALSE), 2&gt;=IFERROR(VLOOKUP(C7, 'Birim Fiyat Master'!A$6:M$30, 9, FALSE), 99), VLOOKUP(C7, 'Birim Fiyat Master'!A$6:M$30, 8, FALSE), 2&gt;=IFERROR(VLOOKUP(C7, 'Birim Fiyat Master'!A$6:M$30, 7, FALSE), 99), VLOOKUP(C7, 'Birim Fiyat Master'!A$6:M$30, 6, FALSE), TRUE, VLOOKUP(C7, 'Birim Fiyat Master'!A$6:M$30, 4, FALSE))), VLOOKUP(C7, 'Birim Fiyat Master'!A$6:M$30, 4, FALSE))</f>
      </c>
      <c r="P7" s="20">
        <f t="shared" ref="P7:P13" ca="1" si="3">M7*O7</f>
      </c>
      <c r="Q7" s="19"/>
      <c r="R7" s="19">
        <f t="shared" ref="R7:R13" si="4">N7+Q7</f>
      </c>
      <c r="S7" s="20">
        <f ca="1">IFERROR(IF(C7="", "", _xludf.IFS(3&gt;=IFERROR(VLOOKUP(C7, 'Birim Fiyat Master'!A$6:M$30, 13, FALSE), 99), VLOOKUP(C7, 'Birim Fiyat Master'!A$6:M$30, 12, FALSE), 3&gt;=IFERROR(VLOOKUP(C7, 'Birim Fiyat Master'!A$6:M$30, 11, FALSE), 99), VLOOKUP(C7, 'Birim Fiyat Master'!A$6:M$30, 10, FALSE), 3&gt;=IFERROR(VLOOKUP(C7, 'Birim Fiyat Master'!A$6:M$30, 9, FALSE), 99), VLOOKUP(C7, 'Birim Fiyat Master'!A$6:M$30, 8, FALSE), 3&gt;=IFERROR(VLOOKUP(C7, 'Birim Fiyat Master'!A$6:M$30, 7, FALSE), 99), VLOOKUP(C7, 'Birim Fiyat Master'!A$6:M$30, 6, FALSE), TRUE, VLOOKUP(C7, 'Birim Fiyat Master'!A$6:M$30, 4, FALSE))), VLOOKUP(C7, 'Birim Fiyat Master'!A$6:M$30, 4, FALSE))</f>
      </c>
      <c r="T7" s="20">
        <f t="shared" ref="T7:T13" ca="1" si="5">Q7*S7</f>
      </c>
      <c r="U7" s="19"/>
      <c r="V7" s="19">
        <f t="shared" ref="V7:V13" si="6">R7+U7</f>
      </c>
      <c r="W7" s="20">
        <f ca="1">IFERROR(IF(C7="", "", _xludf.IFS(4&gt;=IFERROR(VLOOKUP(C7, 'Birim Fiyat Master'!A$6:M$30, 13, FALSE), 99), VLOOKUP(C7, 'Birim Fiyat Master'!A$6:M$30, 12, FALSE), 4&gt;=IFERROR(VLOOKUP(C7, 'Birim Fiyat Master'!A$6:M$30, 11, FALSE), 99), VLOOKUP(C7, 'Birim Fiyat Master'!A$6:M$30, 10, FALSE), 4&gt;=IFERROR(VLOOKUP(C7, 'Birim Fiyat Master'!A$6:M$30, 9, FALSE), 99), VLOOKUP(C7, 'Birim Fiyat Master'!A$6:M$30, 8, FALSE), 4&gt;=IFERROR(VLOOKUP(C7, 'Birim Fiyat Master'!A$6:M$30, 7, FALSE), 99), VLOOKUP(C7, 'Birim Fiyat Master'!A$6:M$30, 6, FALSE), TRUE, VLOOKUP(C7, 'Birim Fiyat Master'!A$6:M$30, 4, FALSE))), VLOOKUP(C7, 'Birim Fiyat Master'!A$6:M$30, 4, FALSE))</f>
      </c>
      <c r="X7" s="20">
        <f t="shared" ref="X7:X13" ca="1" si="7">U7*W7</f>
      </c>
      <c r="Y7" s="19"/>
      <c r="Z7" s="19">
        <f t="shared" ref="Z7:Z13" si="8">V7+Y7</f>
      </c>
      <c r="AA7" s="20">
        <f ca="1">IFERROR(IF(C7="", "", _xludf.IFS(5&gt;=IFERROR(VLOOKUP(C7, 'Birim Fiyat Master'!A$6:M$30, 13, FALSE), 99), VLOOKUP(C7, 'Birim Fiyat Master'!A$6:M$30, 12, FALSE), 5&gt;=IFERROR(VLOOKUP(C7, 'Birim Fiyat Master'!A$6:M$30, 11, FALSE), 99), VLOOKUP(C7, 'Birim Fiyat Master'!A$6:M$30, 10, FALSE), 5&gt;=IFERROR(VLOOKUP(C7, 'Birim Fiyat Master'!A$6:M$30, 9, FALSE), 99), VLOOKUP(C7, 'Birim Fiyat Master'!A$6:M$30, 8, FALSE), 5&gt;=IFERROR(VLOOKUP(C7, 'Birim Fiyat Master'!A$6:M$30, 7, FALSE), 99), VLOOKUP(C7, 'Birim Fiyat Master'!A$6:M$30, 6, FALSE), TRUE, VLOOKUP(C7, 'Birim Fiyat Master'!A$6:M$30, 4, FALSE))), VLOOKUP(C7, 'Birim Fiyat Master'!A$6:M$30, 4, FALSE))</f>
      </c>
      <c r="AB7" s="20">
        <f t="shared" ref="AB7:AB13" ca="1" si="9">Y7*AA7</f>
      </c>
      <c r="AC7" s="19"/>
      <c r="AD7" s="19">
        <f t="shared" ref="AD7:AD13" si="10">Z7+AC7</f>
      </c>
      <c r="AE7" s="20">
        <f ca="1">IFERROR(IF(C7="", "", _xludf.IFS(6&gt;=IFERROR(VLOOKUP(C7, 'Birim Fiyat Master'!A$6:M$30, 13, FALSE), 99), VLOOKUP(C7, 'Birim Fiyat Master'!A$6:M$30, 12, FALSE), 6&gt;=IFERROR(VLOOKUP(C7, 'Birim Fiyat Master'!A$6:M$30, 11, FALSE), 99), VLOOKUP(C7, 'Birim Fiyat Master'!A$6:M$30, 10, FALSE), 6&gt;=IFERROR(VLOOKUP(C7, 'Birim Fiyat Master'!A$6:M$30, 9, FALSE), 99), VLOOKUP(C7, 'Birim Fiyat Master'!A$6:M$30, 8, FALSE), 6&gt;=IFERROR(VLOOKUP(C7, 'Birim Fiyat Master'!A$6:M$30, 7, FALSE), 99), VLOOKUP(C7, 'Birim Fiyat Master'!A$6:M$30, 6, FALSE), TRUE, VLOOKUP(C7, 'Birim Fiyat Master'!A$6:M$30, 4, FALSE))), VLOOKUP(C7, 'Birim Fiyat Master'!A$6:M$30, 4, FALSE))</f>
      </c>
      <c r="AF7" s="20">
        <f t="shared" ref="AF7:AF13" ca="1" si="11">AC7*AE7</f>
      </c>
      <c r="AG7" s="19"/>
      <c r="AH7" s="19">
        <f t="shared" ref="AH7:AH13" si="12">AD7+AG7</f>
      </c>
      <c r="AI7" s="20">
        <f ca="1">IFERROR(IF(C7="", "", _xludf.IFS(7&gt;=IFERROR(VLOOKUP(C7, 'Birim Fiyat Master'!A$6:M$30, 13, FALSE), 99), VLOOKUP(C7, 'Birim Fiyat Master'!A$6:M$30, 12, FALSE), 7&gt;=IFERROR(VLOOKUP(C7, 'Birim Fiyat Master'!A$6:M$30, 11, FALSE), 99), VLOOKUP(C7, 'Birim Fiyat Master'!A$6:M$30, 10, FALSE), 7&gt;=IFERROR(VLOOKUP(C7, 'Birim Fiyat Master'!A$6:M$30, 9, FALSE), 99), VLOOKUP(C7, 'Birim Fiyat Master'!A$6:M$30, 8, FALSE), 7&gt;=IFERROR(VLOOKUP(C7, 'Birim Fiyat Master'!A$6:M$30, 7, FALSE), 99), VLOOKUP(C7, 'Birim Fiyat Master'!A$6:M$30, 6, FALSE), TRUE, VLOOKUP(C7, 'Birim Fiyat Master'!A$6:M$30, 4, FALSE))), VLOOKUP(C7, 'Birim Fiyat Master'!A$6:M$30, 4, FALSE))</f>
      </c>
      <c r="AJ7" s="20">
        <f t="shared" ref="AJ7:AJ13" ca="1" si="13">AG7*AI7</f>
      </c>
      <c r="AK7" s="19"/>
      <c r="AL7" s="19">
        <f t="shared" ref="AL7:AL13" si="14">AH7+AK7</f>
      </c>
      <c r="AM7" s="20">
        <f ca="1">IFERROR(IF(C7="", "", _xludf.IFS(8&gt;=IFERROR(VLOOKUP(C7, 'Birim Fiyat Master'!A$6:M$30, 13, FALSE), 99), VLOOKUP(C7, 'Birim Fiyat Master'!A$6:M$30, 12, FALSE), 8&gt;=IFERROR(VLOOKUP(C7, 'Birim Fiyat Master'!A$6:M$30, 11, FALSE), 99), VLOOKUP(C7, 'Birim Fiyat Master'!A$6:M$30, 10, FALSE), 8&gt;=IFERROR(VLOOKUP(C7, 'Birim Fiyat Master'!A$6:M$30, 9, FALSE), 99), VLOOKUP(C7, 'Birim Fiyat Master'!A$6:M$30, 8, FALSE), 8&gt;=IFERROR(VLOOKUP(C7, 'Birim Fiyat Master'!A$6:M$30, 7, FALSE), 99), VLOOKUP(C7, 'Birim Fiyat Master'!A$6:M$30, 6, FALSE), TRUE, VLOOKUP(C7, 'Birim Fiyat Master'!A$6:M$30, 4, FALSE))), VLOOKUP(C7, 'Birim Fiyat Master'!A$6:M$30, 4, FALSE))</f>
      </c>
      <c r="AN7" s="20">
        <f t="shared" ref="AN7:AN13" ca="1" si="15">AK7*AM7</f>
      </c>
      <c r="AO7" s="19"/>
      <c r="AP7" s="19">
        <f t="shared" ref="AP7:AP13" si="16">AL7+AO7</f>
      </c>
      <c r="AQ7" s="20">
        <f ca="1">IFERROR(IF(C7="", "", _xludf.IFS(9&gt;=IFERROR(VLOOKUP(C7, 'Birim Fiyat Master'!A$6:M$30, 13, FALSE), 99), VLOOKUP(C7, 'Birim Fiyat Master'!A$6:M$30, 12, FALSE), 9&gt;=IFERROR(VLOOKUP(C7, 'Birim Fiyat Master'!A$6:M$30, 11, FALSE), 99), VLOOKUP(C7, 'Birim Fiyat Master'!A$6:M$30, 10, FALSE), 9&gt;=IFERROR(VLOOKUP(C7, 'Birim Fiyat Master'!A$6:M$30, 9, FALSE), 99), VLOOKUP(C7, 'Birim Fiyat Master'!A$6:M$30, 8, FALSE), 9&gt;=IFERROR(VLOOKUP(C7, 'Birim Fiyat Master'!A$6:M$30, 7, FALSE), 99), VLOOKUP(C7, 'Birim Fiyat Master'!A$6:M$30, 6, FALSE), TRUE, VLOOKUP(C7, 'Birim Fiyat Master'!A$6:M$30, 4, FALSE))), VLOOKUP(C7, 'Birim Fiyat Master'!A$6:M$30, 4, FALSE))</f>
      </c>
      <c r="AR7" s="20">
        <f t="shared" ref="AR7:AR13" ca="1" si="17">AO7*AQ7</f>
      </c>
      <c r="AS7" s="19"/>
      <c r="AT7" s="19">
        <f t="shared" ref="AT7:AT13" si="18">AP7+AS7</f>
      </c>
      <c r="AU7" s="20">
        <f ca="1">IFERROR(IF(C7="", "", _xludf.IFS(10&gt;=IFERROR(VLOOKUP(C7, 'Birim Fiyat Master'!A$6:M$30, 13, FALSE), 99), VLOOKUP(C7, 'Birim Fiyat Master'!A$6:M$30, 12, FALSE), 10&gt;=IFERROR(VLOOKUP(C7, 'Birim Fiyat Master'!A$6:M$30, 11, FALSE), 99), VLOOKUP(C7, 'Birim Fiyat Master'!A$6:M$30, 10, FALSE), 10&gt;=IFERROR(VLOOKUP(C7, 'Birim Fiyat Master'!A$6:M$30, 9, FALSE), 99), VLOOKUP(C7, 'Birim Fiyat Master'!A$6:M$30, 8, FALSE), 10&gt;=IFERROR(VLOOKUP(C7, 'Birim Fiyat Master'!A$6:M$30, 7, FALSE), 99), VLOOKUP(C7, 'Birim Fiyat Master'!A$6:M$30, 6, FALSE), TRUE, VLOOKUP(C7, 'Birim Fiyat Master'!A$6:M$30, 4, FALSE))), VLOOKUP(C7, 'Birim Fiyat Master'!A$6:M$30, 4, FALSE))</f>
      </c>
      <c r="AV7" s="20">
        <f t="shared" ref="AV7:AV13" ca="1" si="19">AS7*AU7</f>
      </c>
      <c r="AW7" s="19"/>
      <c r="AX7" s="19">
        <f t="shared" ref="AX7:AX13" si="20">AT7+AW7</f>
      </c>
      <c r="AY7" s="20">
        <f ca="1">IFERROR(IF(C7="", "", _xludf.IFS(11&gt;=IFERROR(VLOOKUP(C7, 'Birim Fiyat Master'!A$6:M$30, 13, FALSE), 99), VLOOKUP(C7, 'Birim Fiyat Master'!A$6:M$30, 12, FALSE), 11&gt;=IFERROR(VLOOKUP(C7, 'Birim Fiyat Master'!A$6:M$30, 11, FALSE), 99), VLOOKUP(C7, 'Birim Fiyat Master'!A$6:M$30, 10, FALSE), 11&gt;=IFERROR(VLOOKUP(C7, 'Birim Fiyat Master'!A$6:M$30, 9, FALSE), 99), VLOOKUP(C7, 'Birim Fiyat Master'!A$6:M$30, 8, FALSE), 11&gt;=IFERROR(VLOOKUP(C7, 'Birim Fiyat Master'!A$6:M$30, 7, FALSE), 99), VLOOKUP(C7, 'Birim Fiyat Master'!A$6:M$30, 6, FALSE), TRUE, VLOOKUP(C7, 'Birim Fiyat Master'!A$6:M$30, 4, FALSE))), VLOOKUP(C7, 'Birim Fiyat Master'!A$6:M$30, 4, FALSE))</f>
      </c>
      <c r="AZ7" s="20">
        <f t="shared" ref="AZ7:AZ13" ca="1" si="21">AW7*AY7</f>
      </c>
      <c r="BA7" s="19"/>
      <c r="BB7" s="19">
        <f t="shared" ref="BB7:BB13" si="22">AX7+BA7</f>
      </c>
      <c r="BC7" s="20">
        <f ca="1">IFERROR(IF(C7="", "", _xludf.IFS(12&gt;=IFERROR(VLOOKUP(C7, 'Birim Fiyat Master'!A$6:M$30, 13, FALSE), 99), VLOOKUP(C7, 'Birim Fiyat Master'!A$6:M$30, 12, FALSE), 12&gt;=IFERROR(VLOOKUP(C7, 'Birim Fiyat Master'!A$6:M$30, 11, FALSE), 99), VLOOKUP(C7, 'Birim Fiyat Master'!A$6:M$30, 10, FALSE), 12&gt;=IFERROR(VLOOKUP(C7, 'Birim Fiyat Master'!A$6:M$30, 9, FALSE), 99), VLOOKUP(C7, 'Birim Fiyat Master'!A$6:M$30, 8, FALSE), 12&gt;=IFERROR(VLOOKUP(C7, 'Birim Fiyat Master'!A$6:M$30, 7, FALSE), 99), VLOOKUP(C7, 'Birim Fiyat Master'!A$6:M$30, 6, FALSE), TRUE, VLOOKUP(C7, 'Birim Fiyat Master'!A$6:M$30, 4, FALSE))), VLOOKUP(C7, 'Birim Fiyat Master'!A$6:M$30, 4, FALSE))</f>
      </c>
      <c r="BD7" s="20">
        <f t="shared" ref="BD7:BD13" ca="1" si="23">BA7*BC7</f>
      </c>
      <c r="BE7" s="19"/>
      <c r="BF7" s="19">
        <f t="shared" ref="BF7:BF13" si="24">BB7+BE7</f>
      </c>
      <c r="BG7" s="20">
        <f ca="1">IFERROR(IF(C7="", "", _xludf.IFS(13&gt;=IFERROR(VLOOKUP(C7, 'Birim Fiyat Master'!A$6:M$30, 13, FALSE), 99), VLOOKUP(C7, 'Birim Fiyat Master'!A$6:M$30, 12, FALSE), 13&gt;=IFERROR(VLOOKUP(C7, 'Birim Fiyat Master'!A$6:M$30, 11, FALSE), 99), VLOOKUP(C7, 'Birim Fiyat Master'!A$6:M$30, 10, FALSE), 13&gt;=IFERROR(VLOOKUP(C7, 'Birim Fiyat Master'!A$6:M$30, 9, FALSE), 99), VLOOKUP(C7, 'Birim Fiyat Master'!A$6:M$30, 8, FALSE), 13&gt;=IFERROR(VLOOKUP(C7, 'Birim Fiyat Master'!A$6:M$30, 7, FALSE), 99), VLOOKUP(C7, 'Birim Fiyat Master'!A$6:M$30, 6, FALSE), TRUE, VLOOKUP(C7, 'Birim Fiyat Master'!A$6:M$30, 4, FALSE))), VLOOKUP(C7, 'Birim Fiyat Master'!A$6:M$30, 4, FALSE))</f>
      </c>
      <c r="BH7" s="20">
        <f t="shared" ref="BH7:BH13" ca="1" si="25">BE7*BG7</f>
      </c>
      <c r="BI7" s="19"/>
      <c r="BJ7" s="19">
        <f t="shared" ref="BJ7:BJ13" si="26">BF7+BI7</f>
      </c>
      <c r="BK7" s="20">
        <f ca="1">IFERROR(IF(C7="", "", _xludf.IFS(14&gt;=IFERROR(VLOOKUP(C7, 'Birim Fiyat Master'!A$6:M$30, 13, FALSE), 99), VLOOKUP(C7, 'Birim Fiyat Master'!A$6:M$30, 12, FALSE), 14&gt;=IFERROR(VLOOKUP(C7, 'Birim Fiyat Master'!A$6:M$30, 11, FALSE), 99), VLOOKUP(C7, 'Birim Fiyat Master'!A$6:M$30, 10, FALSE), 14&gt;=IFERROR(VLOOKUP(C7, 'Birim Fiyat Master'!A$6:M$30, 9, FALSE), 99), VLOOKUP(C7, 'Birim Fiyat Master'!A$6:M$30, 8, FALSE), 14&gt;=IFERROR(VLOOKUP(C7, 'Birim Fiyat Master'!A$6:M$30, 7, FALSE), 99), VLOOKUP(C7, 'Birim Fiyat Master'!A$6:M$30, 6, FALSE), TRUE, VLOOKUP(C7, 'Birim Fiyat Master'!A$6:M$30, 4, FALSE))), VLOOKUP(C7, 'Birim Fiyat Master'!A$6:M$30, 4, FALSE))</f>
      </c>
      <c r="BL7" s="20">
        <f t="shared" ref="BL7:BL13" ca="1" si="27">BI7*BK7</f>
      </c>
      <c r="BM7" s="19"/>
      <c r="BN7" s="19">
        <f t="shared" ref="BN7:BN13" si="28">BJ7+BM7</f>
      </c>
      <c r="BO7" s="20">
        <f ca="1">IFERROR(IF(C7="", "", _xludf.IFS(15&gt;=IFERROR(VLOOKUP(C7, 'Birim Fiyat Master'!A$6:M$30, 13, FALSE), 99), VLOOKUP(C7, 'Birim Fiyat Master'!A$6:M$30, 12, FALSE), 15&gt;=IFERROR(VLOOKUP(C7, 'Birim Fiyat Master'!A$6:M$30, 11, FALSE), 99), VLOOKUP(C7, 'Birim Fiyat Master'!A$6:M$30, 10, FALSE), 15&gt;=IFERROR(VLOOKUP(C7, 'Birim Fiyat Master'!A$6:M$30, 9, FALSE), 99), VLOOKUP(C7, 'Birim Fiyat Master'!A$6:M$30, 8, FALSE), 15&gt;=IFERROR(VLOOKUP(C7, 'Birim Fiyat Master'!A$6:M$30, 7, FALSE), 99), VLOOKUP(C7, 'Birim Fiyat Master'!A$6:M$30, 6, FALSE), TRUE, VLOOKUP(C7, 'Birim Fiyat Master'!A$6:M$30, 4, FALSE))), VLOOKUP(C7, 'Birim Fiyat Master'!A$6:M$30, 4, FALSE))</f>
      </c>
      <c r="BP7" s="20">
        <f t="shared" ref="BP7:BP13" ca="1" si="29">BM7*BO7</f>
      </c>
      <c r="BQ7" s="3"/>
    </row>
    <row r="8" spans="1:69" ht="22.05" customHeight="1" x14ac:dyDescent="0.3">
      <c r="A8" s="17"/>
      <c r="B8" s="18"/>
      <c r="C8" s="2"/>
      <c r="D8" s="18" t="str">
        <f>IFERROR(VLOOKUP(C8, 'Birim Fiyat Master'!A$6:M$30, 2, FALSE), "")</f>
      </c>
      <c r="E8" s="18" t="str">
        <f>IFERROR(VLOOKUP(C8, 'Birim Fiyat Master'!A$6:M$30, 3, FALSE), "")</f>
      </c>
      <c r="F8" s="19"/>
      <c r="G8" s="19">
        <f t="shared" si="0"/>
      </c>
      <c r="H8" s="19"/>
      <c r="I8" s="19"/>
      <c r="J8" s="19">
        <f>H8+I8</f>
      </c>
      <c r="K8" s="20">
        <f ca="1">IFERROR(IF(C8="", "", _xludf.IFS(1&gt;=IFERROR(VLOOKUP(C8, 'Birim Fiyat Master'!A$6:M$30, 13, FALSE), 99), VLOOKUP(C8, 'Birim Fiyat Master'!A$6:M$30, 12, FALSE), 1&gt;=IFERROR(VLOOKUP(C8, 'Birim Fiyat Master'!A$6:M$30, 11, FALSE), 99), VLOOKUP(C8, 'Birim Fiyat Master'!A$6:M$30, 10, FALSE), 1&gt;=IFERROR(VLOOKUP(C8, 'Birim Fiyat Master'!A$6:M$30, 9, FALSE), 99), VLOOKUP(C8, 'Birim Fiyat Master'!A$6:M$30, 8, FALSE), 1&gt;=IFERROR(VLOOKUP(C8, 'Birim Fiyat Master'!A$6:M$30, 7, FALSE), 99), VLOOKUP(C8, 'Birim Fiyat Master'!A$6:M$30, 6, FALSE), TRUE, VLOOKUP(C8, 'Birim Fiyat Master'!A$6:M$30, 4, FALSE))), VLOOKUP(C8, 'Birim Fiyat Master'!A$6:M$30, 4, FALSE))</f>
      </c>
      <c r="L8" s="20">
        <f t="shared" ca="1" si="1"/>
      </c>
      <c r="M8" s="19"/>
      <c r="N8" s="19">
        <f t="shared" si="2"/>
      </c>
      <c r="O8" s="20">
        <f ca="1">IFERROR(IF(C8="", "", _xludf.IFS(2&gt;=IFERROR(VLOOKUP(C8, 'Birim Fiyat Master'!A$6:M$30, 13, FALSE), 99), VLOOKUP(C8, 'Birim Fiyat Master'!A$6:M$30, 12, FALSE), 2&gt;=IFERROR(VLOOKUP(C8, 'Birim Fiyat Master'!A$6:M$30, 11, FALSE), 99), VLOOKUP(C8, 'Birim Fiyat Master'!A$6:M$30, 10, FALSE), 2&gt;=IFERROR(VLOOKUP(C8, 'Birim Fiyat Master'!A$6:M$30, 9, FALSE), 99), VLOOKUP(C8, 'Birim Fiyat Master'!A$6:M$30, 8, FALSE), 2&gt;=IFERROR(VLOOKUP(C8, 'Birim Fiyat Master'!A$6:M$30, 7, FALSE), 99), VLOOKUP(C8, 'Birim Fiyat Master'!A$6:M$30, 6, FALSE), TRUE, VLOOKUP(C8, 'Birim Fiyat Master'!A$6:M$30, 4, FALSE))), VLOOKUP(C8, 'Birim Fiyat Master'!A$6:M$30, 4, FALSE))</f>
      </c>
      <c r="P8" s="20">
        <f t="shared" ca="1" si="3"/>
      </c>
      <c r="Q8" s="19"/>
      <c r="R8" s="19">
        <f t="shared" si="4"/>
      </c>
      <c r="S8" s="20">
        <f ca="1">IFERROR(IF(C8="", "", _xludf.IFS(3&gt;=IFERROR(VLOOKUP(C8, 'Birim Fiyat Master'!A$6:M$30, 13, FALSE), 99), VLOOKUP(C8, 'Birim Fiyat Master'!A$6:M$30, 12, FALSE), 3&gt;=IFERROR(VLOOKUP(C8, 'Birim Fiyat Master'!A$6:M$30, 11, FALSE), 99), VLOOKUP(C8, 'Birim Fiyat Master'!A$6:M$30, 10, FALSE), 3&gt;=IFERROR(VLOOKUP(C8, 'Birim Fiyat Master'!A$6:M$30, 9, FALSE), 99), VLOOKUP(C8, 'Birim Fiyat Master'!A$6:M$30, 8, FALSE), 3&gt;=IFERROR(VLOOKUP(C8, 'Birim Fiyat Master'!A$6:M$30, 7, FALSE), 99), VLOOKUP(C8, 'Birim Fiyat Master'!A$6:M$30, 6, FALSE), TRUE, VLOOKUP(C8, 'Birim Fiyat Master'!A$6:M$30, 4, FALSE))), VLOOKUP(C8, 'Birim Fiyat Master'!A$6:M$30, 4, FALSE))</f>
      </c>
      <c r="T8" s="20">
        <f t="shared" ca="1" si="5"/>
      </c>
      <c r="U8" s="19"/>
      <c r="V8" s="19">
        <f t="shared" si="6"/>
      </c>
      <c r="W8" s="20">
        <f ca="1">IFERROR(IF(C8="", "", _xludf.IFS(4&gt;=IFERROR(VLOOKUP(C8, 'Birim Fiyat Master'!A$6:M$30, 13, FALSE), 99), VLOOKUP(C8, 'Birim Fiyat Master'!A$6:M$30, 12, FALSE), 4&gt;=IFERROR(VLOOKUP(C8, 'Birim Fiyat Master'!A$6:M$30, 11, FALSE), 99), VLOOKUP(C8, 'Birim Fiyat Master'!A$6:M$30, 10, FALSE), 4&gt;=IFERROR(VLOOKUP(C8, 'Birim Fiyat Master'!A$6:M$30, 9, FALSE), 99), VLOOKUP(C8, 'Birim Fiyat Master'!A$6:M$30, 8, FALSE), 4&gt;=IFERROR(VLOOKUP(C8, 'Birim Fiyat Master'!A$6:M$30, 7, FALSE), 99), VLOOKUP(C8, 'Birim Fiyat Master'!A$6:M$30, 6, FALSE), TRUE, VLOOKUP(C8, 'Birim Fiyat Master'!A$6:M$30, 4, FALSE))), VLOOKUP(C8, 'Birim Fiyat Master'!A$6:M$30, 4, FALSE))</f>
      </c>
      <c r="X8" s="20">
        <f t="shared" ca="1" si="7"/>
      </c>
      <c r="Y8" s="19"/>
      <c r="Z8" s="19">
        <f t="shared" si="8"/>
      </c>
      <c r="AA8" s="20">
        <f ca="1">IFERROR(IF(C8="", "", _xludf.IFS(5&gt;=IFERROR(VLOOKUP(C8, 'Birim Fiyat Master'!A$6:M$30, 13, FALSE), 99), VLOOKUP(C8, 'Birim Fiyat Master'!A$6:M$30, 12, FALSE), 5&gt;=IFERROR(VLOOKUP(C8, 'Birim Fiyat Master'!A$6:M$30, 11, FALSE), 99), VLOOKUP(C8, 'Birim Fiyat Master'!A$6:M$30, 10, FALSE), 5&gt;=IFERROR(VLOOKUP(C8, 'Birim Fiyat Master'!A$6:M$30, 9, FALSE), 99), VLOOKUP(C8, 'Birim Fiyat Master'!A$6:M$30, 8, FALSE), 5&gt;=IFERROR(VLOOKUP(C8, 'Birim Fiyat Master'!A$6:M$30, 7, FALSE), 99), VLOOKUP(C8, 'Birim Fiyat Master'!A$6:M$30, 6, FALSE), TRUE, VLOOKUP(C8, 'Birim Fiyat Master'!A$6:M$30, 4, FALSE))), VLOOKUP(C8, 'Birim Fiyat Master'!A$6:M$30, 4, FALSE))</f>
      </c>
      <c r="AB8" s="20">
        <f t="shared" ca="1" si="9"/>
      </c>
      <c r="AC8" s="19"/>
      <c r="AD8" s="19">
        <f t="shared" si="10"/>
      </c>
      <c r="AE8" s="20">
        <f ca="1">IFERROR(IF(C8="", "", _xludf.IFS(6&gt;=IFERROR(VLOOKUP(C8, 'Birim Fiyat Master'!A$6:M$30, 13, FALSE), 99), VLOOKUP(C8, 'Birim Fiyat Master'!A$6:M$30, 12, FALSE), 6&gt;=IFERROR(VLOOKUP(C8, 'Birim Fiyat Master'!A$6:M$30, 11, FALSE), 99), VLOOKUP(C8, 'Birim Fiyat Master'!A$6:M$30, 10, FALSE), 6&gt;=IFERROR(VLOOKUP(C8, 'Birim Fiyat Master'!A$6:M$30, 9, FALSE), 99), VLOOKUP(C8, 'Birim Fiyat Master'!A$6:M$30, 8, FALSE), 6&gt;=IFERROR(VLOOKUP(C8, 'Birim Fiyat Master'!A$6:M$30, 7, FALSE), 99), VLOOKUP(C8, 'Birim Fiyat Master'!A$6:M$30, 6, FALSE), TRUE, VLOOKUP(C8, 'Birim Fiyat Master'!A$6:M$30, 4, FALSE))), VLOOKUP(C8, 'Birim Fiyat Master'!A$6:M$30, 4, FALSE))</f>
      </c>
      <c r="AF8" s="20">
        <f t="shared" ca="1" si="11"/>
      </c>
      <c r="AG8" s="19"/>
      <c r="AH8" s="19">
        <f t="shared" si="12"/>
      </c>
      <c r="AI8" s="20">
        <f ca="1">IFERROR(IF(C8="", "", _xludf.IFS(7&gt;=IFERROR(VLOOKUP(C8, 'Birim Fiyat Master'!A$6:M$30, 13, FALSE), 99), VLOOKUP(C8, 'Birim Fiyat Master'!A$6:M$30, 12, FALSE), 7&gt;=IFERROR(VLOOKUP(C8, 'Birim Fiyat Master'!A$6:M$30, 11, FALSE), 99), VLOOKUP(C8, 'Birim Fiyat Master'!A$6:M$30, 10, FALSE), 7&gt;=IFERROR(VLOOKUP(C8, 'Birim Fiyat Master'!A$6:M$30, 9, FALSE), 99), VLOOKUP(C8, 'Birim Fiyat Master'!A$6:M$30, 8, FALSE), 7&gt;=IFERROR(VLOOKUP(C8, 'Birim Fiyat Master'!A$6:M$30, 7, FALSE), 99), VLOOKUP(C8, 'Birim Fiyat Master'!A$6:M$30, 6, FALSE), TRUE, VLOOKUP(C8, 'Birim Fiyat Master'!A$6:M$30, 4, FALSE))), VLOOKUP(C8, 'Birim Fiyat Master'!A$6:M$30, 4, FALSE))</f>
      </c>
      <c r="AJ8" s="20">
        <f t="shared" ca="1" si="13"/>
      </c>
      <c r="AK8" s="19"/>
      <c r="AL8" s="19">
        <f t="shared" si="14"/>
      </c>
      <c r="AM8" s="20">
        <f ca="1">IFERROR(IF(C8="", "", _xludf.IFS(8&gt;=IFERROR(VLOOKUP(C8, 'Birim Fiyat Master'!A$6:M$30, 13, FALSE), 99), VLOOKUP(C8, 'Birim Fiyat Master'!A$6:M$30, 12, FALSE), 8&gt;=IFERROR(VLOOKUP(C8, 'Birim Fiyat Master'!A$6:M$30, 11, FALSE), 99), VLOOKUP(C8, 'Birim Fiyat Master'!A$6:M$30, 10, FALSE), 8&gt;=IFERROR(VLOOKUP(C8, 'Birim Fiyat Master'!A$6:M$30, 9, FALSE), 99), VLOOKUP(C8, 'Birim Fiyat Master'!A$6:M$30, 8, FALSE), 8&gt;=IFERROR(VLOOKUP(C8, 'Birim Fiyat Master'!A$6:M$30, 7, FALSE), 99), VLOOKUP(C8, 'Birim Fiyat Master'!A$6:M$30, 6, FALSE), TRUE, VLOOKUP(C8, 'Birim Fiyat Master'!A$6:M$30, 4, FALSE))), VLOOKUP(C8, 'Birim Fiyat Master'!A$6:M$30, 4, FALSE))</f>
      </c>
      <c r="AN8" s="20">
        <f t="shared" ca="1" si="15"/>
      </c>
      <c r="AO8" s="19"/>
      <c r="AP8" s="19">
        <f t="shared" si="16"/>
      </c>
      <c r="AQ8" s="20">
        <f ca="1">IFERROR(IF(C8="", "", _xludf.IFS(9&gt;=IFERROR(VLOOKUP(C8, 'Birim Fiyat Master'!A$6:M$30, 13, FALSE), 99), VLOOKUP(C8, 'Birim Fiyat Master'!A$6:M$30, 12, FALSE), 9&gt;=IFERROR(VLOOKUP(C8, 'Birim Fiyat Master'!A$6:M$30, 11, FALSE), 99), VLOOKUP(C8, 'Birim Fiyat Master'!A$6:M$30, 10, FALSE), 9&gt;=IFERROR(VLOOKUP(C8, 'Birim Fiyat Master'!A$6:M$30, 9, FALSE), 99), VLOOKUP(C8, 'Birim Fiyat Master'!A$6:M$30, 8, FALSE), 9&gt;=IFERROR(VLOOKUP(C8, 'Birim Fiyat Master'!A$6:M$30, 7, FALSE), 99), VLOOKUP(C8, 'Birim Fiyat Master'!A$6:M$30, 6, FALSE), TRUE, VLOOKUP(C8, 'Birim Fiyat Master'!A$6:M$30, 4, FALSE))), VLOOKUP(C8, 'Birim Fiyat Master'!A$6:M$30, 4, FALSE))</f>
      </c>
      <c r="AR8" s="20">
        <f t="shared" ca="1" si="17"/>
      </c>
      <c r="AS8" s="19"/>
      <c r="AT8" s="19">
        <f t="shared" si="18"/>
      </c>
      <c r="AU8" s="20">
        <f ca="1">IFERROR(IF(C8="", "", _xludf.IFS(10&gt;=IFERROR(VLOOKUP(C8, 'Birim Fiyat Master'!A$6:M$30, 13, FALSE), 99), VLOOKUP(C8, 'Birim Fiyat Master'!A$6:M$30, 12, FALSE), 10&gt;=IFERROR(VLOOKUP(C8, 'Birim Fiyat Master'!A$6:M$30, 11, FALSE), 99), VLOOKUP(C8, 'Birim Fiyat Master'!A$6:M$30, 10, FALSE), 10&gt;=IFERROR(VLOOKUP(C8, 'Birim Fiyat Master'!A$6:M$30, 9, FALSE), 99), VLOOKUP(C8, 'Birim Fiyat Master'!A$6:M$30, 8, FALSE), 10&gt;=IFERROR(VLOOKUP(C8, 'Birim Fiyat Master'!A$6:M$30, 7, FALSE), 99), VLOOKUP(C8, 'Birim Fiyat Master'!A$6:M$30, 6, FALSE), TRUE, VLOOKUP(C8, 'Birim Fiyat Master'!A$6:M$30, 4, FALSE))), VLOOKUP(C8, 'Birim Fiyat Master'!A$6:M$30, 4, FALSE))</f>
      </c>
      <c r="AV8" s="20">
        <f t="shared" ca="1" si="19"/>
      </c>
      <c r="AW8" s="19"/>
      <c r="AX8" s="19">
        <f t="shared" si="20"/>
      </c>
      <c r="AY8" s="20">
        <f ca="1">IFERROR(IF(C8="", "", _xludf.IFS(11&gt;=IFERROR(VLOOKUP(C8, 'Birim Fiyat Master'!A$6:M$30, 13, FALSE), 99), VLOOKUP(C8, 'Birim Fiyat Master'!A$6:M$30, 12, FALSE), 11&gt;=IFERROR(VLOOKUP(C8, 'Birim Fiyat Master'!A$6:M$30, 11, FALSE), 99), VLOOKUP(C8, 'Birim Fiyat Master'!A$6:M$30, 10, FALSE), 11&gt;=IFERROR(VLOOKUP(C8, 'Birim Fiyat Master'!A$6:M$30, 9, FALSE), 99), VLOOKUP(C8, 'Birim Fiyat Master'!A$6:M$30, 8, FALSE), 11&gt;=IFERROR(VLOOKUP(C8, 'Birim Fiyat Master'!A$6:M$30, 7, FALSE), 99), VLOOKUP(C8, 'Birim Fiyat Master'!A$6:M$30, 6, FALSE), TRUE, VLOOKUP(C8, 'Birim Fiyat Master'!A$6:M$30, 4, FALSE))), VLOOKUP(C8, 'Birim Fiyat Master'!A$6:M$30, 4, FALSE))</f>
      </c>
      <c r="AZ8" s="20">
        <f t="shared" ca="1" si="21"/>
      </c>
      <c r="BA8" s="19"/>
      <c r="BB8" s="19">
        <f t="shared" si="22"/>
      </c>
      <c r="BC8" s="20">
        <f ca="1">IFERROR(IF(C8="", "", _xludf.IFS(12&gt;=IFERROR(VLOOKUP(C8, 'Birim Fiyat Master'!A$6:M$30, 13, FALSE), 99), VLOOKUP(C8, 'Birim Fiyat Master'!A$6:M$30, 12, FALSE), 12&gt;=IFERROR(VLOOKUP(C8, 'Birim Fiyat Master'!A$6:M$30, 11, FALSE), 99), VLOOKUP(C8, 'Birim Fiyat Master'!A$6:M$30, 10, FALSE), 12&gt;=IFERROR(VLOOKUP(C8, 'Birim Fiyat Master'!A$6:M$30, 9, FALSE), 99), VLOOKUP(C8, 'Birim Fiyat Master'!A$6:M$30, 8, FALSE), 12&gt;=IFERROR(VLOOKUP(C8, 'Birim Fiyat Master'!A$6:M$30, 7, FALSE), 99), VLOOKUP(C8, 'Birim Fiyat Master'!A$6:M$30, 6, FALSE), TRUE, VLOOKUP(C8, 'Birim Fiyat Master'!A$6:M$30, 4, FALSE))), VLOOKUP(C8, 'Birim Fiyat Master'!A$6:M$30, 4, FALSE))</f>
      </c>
      <c r="BD8" s="20">
        <f t="shared" ca="1" si="23"/>
      </c>
      <c r="BE8" s="19"/>
      <c r="BF8" s="19">
        <f t="shared" si="24"/>
      </c>
      <c r="BG8" s="20">
        <f ca="1">IFERROR(IF(C8="", "", _xludf.IFS(13&gt;=IFERROR(VLOOKUP(C8, 'Birim Fiyat Master'!A$6:M$30, 13, FALSE), 99), VLOOKUP(C8, 'Birim Fiyat Master'!A$6:M$30, 12, FALSE), 13&gt;=IFERROR(VLOOKUP(C8, 'Birim Fiyat Master'!A$6:M$30, 11, FALSE), 99), VLOOKUP(C8, 'Birim Fiyat Master'!A$6:M$30, 10, FALSE), 13&gt;=IFERROR(VLOOKUP(C8, 'Birim Fiyat Master'!A$6:M$30, 9, FALSE), 99), VLOOKUP(C8, 'Birim Fiyat Master'!A$6:M$30, 8, FALSE), 13&gt;=IFERROR(VLOOKUP(C8, 'Birim Fiyat Master'!A$6:M$30, 7, FALSE), 99), VLOOKUP(C8, 'Birim Fiyat Master'!A$6:M$30, 6, FALSE), TRUE, VLOOKUP(C8, 'Birim Fiyat Master'!A$6:M$30, 4, FALSE))), VLOOKUP(C8, 'Birim Fiyat Master'!A$6:M$30, 4, FALSE))</f>
      </c>
      <c r="BH8" s="20">
        <f t="shared" ca="1" si="25"/>
      </c>
      <c r="BI8" s="19"/>
      <c r="BJ8" s="19">
        <f t="shared" si="26"/>
      </c>
      <c r="BK8" s="20">
        <f ca="1">IFERROR(IF(C8="", "", _xludf.IFS(14&gt;=IFERROR(VLOOKUP(C8, 'Birim Fiyat Master'!A$6:M$30, 13, FALSE), 99), VLOOKUP(C8, 'Birim Fiyat Master'!A$6:M$30, 12, FALSE), 14&gt;=IFERROR(VLOOKUP(C8, 'Birim Fiyat Master'!A$6:M$30, 11, FALSE), 99), VLOOKUP(C8, 'Birim Fiyat Master'!A$6:M$30, 10, FALSE), 14&gt;=IFERROR(VLOOKUP(C8, 'Birim Fiyat Master'!A$6:M$30, 9, FALSE), 99), VLOOKUP(C8, 'Birim Fiyat Master'!A$6:M$30, 8, FALSE), 14&gt;=IFERROR(VLOOKUP(C8, 'Birim Fiyat Master'!A$6:M$30, 7, FALSE), 99), VLOOKUP(C8, 'Birim Fiyat Master'!A$6:M$30, 6, FALSE), TRUE, VLOOKUP(C8, 'Birim Fiyat Master'!A$6:M$30, 4, FALSE))), VLOOKUP(C8, 'Birim Fiyat Master'!A$6:M$30, 4, FALSE))</f>
      </c>
      <c r="BL8" s="20">
        <f t="shared" ca="1" si="27"/>
      </c>
      <c r="BM8" s="19"/>
      <c r="BN8" s="19">
        <f t="shared" si="28"/>
      </c>
      <c r="BO8" s="20">
        <f ca="1">IFERROR(IF(C8="", "", _xludf.IFS(15&gt;=IFERROR(VLOOKUP(C8, 'Birim Fiyat Master'!A$6:M$30, 13, FALSE), 99), VLOOKUP(C8, 'Birim Fiyat Master'!A$6:M$30, 12, FALSE), 15&gt;=IFERROR(VLOOKUP(C8, 'Birim Fiyat Master'!A$6:M$30, 11, FALSE), 99), VLOOKUP(C8, 'Birim Fiyat Master'!A$6:M$30, 10, FALSE), 15&gt;=IFERROR(VLOOKUP(C8, 'Birim Fiyat Master'!A$6:M$30, 9, FALSE), 99), VLOOKUP(C8, 'Birim Fiyat Master'!A$6:M$30, 8, FALSE), 15&gt;=IFERROR(VLOOKUP(C8, 'Birim Fiyat Master'!A$6:M$30, 7, FALSE), 99), VLOOKUP(C8, 'Birim Fiyat Master'!A$6:M$30, 6, FALSE), TRUE, VLOOKUP(C8, 'Birim Fiyat Master'!A$6:M$30, 4, FALSE))), VLOOKUP(C8, 'Birim Fiyat Master'!A$6:M$30, 4, FALSE))</f>
      </c>
      <c r="BP8" s="20">
        <f t="shared" ca="1" si="29"/>
      </c>
      <c r="BQ8" s="3"/>
    </row>
    <row r="9" spans="1:69" ht="22.05" customHeight="1" x14ac:dyDescent="0.3">
      <c r="A9" s="17"/>
      <c r="B9" s="18"/>
      <c r="C9" s="2"/>
      <c r="D9" s="18" t="str">
        <f>IFERROR(VLOOKUP(C9, 'Birim Fiyat Master'!A$6:M$30, 2, FALSE), "")</f>
      </c>
      <c r="E9" s="18" t="str">
        <f>IFERROR(VLOOKUP(C9, 'Birim Fiyat Master'!A$6:M$30, 3, FALSE), "")</f>
      </c>
      <c r="F9" s="19"/>
      <c r="G9" s="19">
        <f t="shared" si="0"/>
      </c>
      <c r="H9" s="19"/>
      <c r="I9" s="19"/>
      <c r="J9" s="19">
        <f>H9+I9</f>
      </c>
      <c r="K9" s="20">
        <f ca="1">IFERROR(IF(C9="", "", _xludf.IFS(1&gt;=IFERROR(VLOOKUP(C9, 'Birim Fiyat Master'!A$6:M$30, 13, FALSE), 99), VLOOKUP(C9, 'Birim Fiyat Master'!A$6:M$30, 12, FALSE), 1&gt;=IFERROR(VLOOKUP(C9, 'Birim Fiyat Master'!A$6:M$30, 11, FALSE), 99), VLOOKUP(C9, 'Birim Fiyat Master'!A$6:M$30, 10, FALSE), 1&gt;=IFERROR(VLOOKUP(C9, 'Birim Fiyat Master'!A$6:M$30, 9, FALSE), 99), VLOOKUP(C9, 'Birim Fiyat Master'!A$6:M$30, 8, FALSE), 1&gt;=IFERROR(VLOOKUP(C9, 'Birim Fiyat Master'!A$6:M$30, 7, FALSE), 99), VLOOKUP(C9, 'Birim Fiyat Master'!A$6:M$30, 6, FALSE), TRUE, VLOOKUP(C9, 'Birim Fiyat Master'!A$6:M$30, 4, FALSE))), VLOOKUP(C9, 'Birim Fiyat Master'!A$6:M$30, 4, FALSE))</f>
      </c>
      <c r="L9" s="20">
        <f t="shared" ca="1" si="1"/>
      </c>
      <c r="M9" s="19"/>
      <c r="N9" s="19">
        <f t="shared" si="2"/>
      </c>
      <c r="O9" s="20">
        <f ca="1">IFERROR(IF(C9="", "", _xludf.IFS(2&gt;=IFERROR(VLOOKUP(C9, 'Birim Fiyat Master'!A$6:M$30, 13, FALSE), 99), VLOOKUP(C9, 'Birim Fiyat Master'!A$6:M$30, 12, FALSE), 2&gt;=IFERROR(VLOOKUP(C9, 'Birim Fiyat Master'!A$6:M$30, 11, FALSE), 99), VLOOKUP(C9, 'Birim Fiyat Master'!A$6:M$30, 10, FALSE), 2&gt;=IFERROR(VLOOKUP(C9, 'Birim Fiyat Master'!A$6:M$30, 9, FALSE), 99), VLOOKUP(C9, 'Birim Fiyat Master'!A$6:M$30, 8, FALSE), 2&gt;=IFERROR(VLOOKUP(C9, 'Birim Fiyat Master'!A$6:M$30, 7, FALSE), 99), VLOOKUP(C9, 'Birim Fiyat Master'!A$6:M$30, 6, FALSE), TRUE, VLOOKUP(C9, 'Birim Fiyat Master'!A$6:M$30, 4, FALSE))), VLOOKUP(C9, 'Birim Fiyat Master'!A$6:M$30, 4, FALSE))</f>
      </c>
      <c r="P9" s="20">
        <f t="shared" ca="1" si="3"/>
      </c>
      <c r="Q9" s="19"/>
      <c r="R9" s="19">
        <f t="shared" si="4"/>
      </c>
      <c r="S9" s="20">
        <f ca="1">IFERROR(IF(C9="", "", _xludf.IFS(3&gt;=IFERROR(VLOOKUP(C9, 'Birim Fiyat Master'!A$6:M$30, 13, FALSE), 99), VLOOKUP(C9, 'Birim Fiyat Master'!A$6:M$30, 12, FALSE), 3&gt;=IFERROR(VLOOKUP(C9, 'Birim Fiyat Master'!A$6:M$30, 11, FALSE), 99), VLOOKUP(C9, 'Birim Fiyat Master'!A$6:M$30, 10, FALSE), 3&gt;=IFERROR(VLOOKUP(C9, 'Birim Fiyat Master'!A$6:M$30, 9, FALSE), 99), VLOOKUP(C9, 'Birim Fiyat Master'!A$6:M$30, 8, FALSE), 3&gt;=IFERROR(VLOOKUP(C9, 'Birim Fiyat Master'!A$6:M$30, 7, FALSE), 99), VLOOKUP(C9, 'Birim Fiyat Master'!A$6:M$30, 6, FALSE), TRUE, VLOOKUP(C9, 'Birim Fiyat Master'!A$6:M$30, 4, FALSE))), VLOOKUP(C9, 'Birim Fiyat Master'!A$6:M$30, 4, FALSE))</f>
      </c>
      <c r="T9" s="20">
        <f t="shared" ca="1" si="5"/>
      </c>
      <c r="U9" s="19"/>
      <c r="V9" s="19">
        <f t="shared" si="6"/>
      </c>
      <c r="W9" s="20">
        <f ca="1">IFERROR(IF(C9="", "", _xludf.IFS(4&gt;=IFERROR(VLOOKUP(C9, 'Birim Fiyat Master'!A$6:M$30, 13, FALSE), 99), VLOOKUP(C9, 'Birim Fiyat Master'!A$6:M$30, 12, FALSE), 4&gt;=IFERROR(VLOOKUP(C9, 'Birim Fiyat Master'!A$6:M$30, 11, FALSE), 99), VLOOKUP(C9, 'Birim Fiyat Master'!A$6:M$30, 10, FALSE), 4&gt;=IFERROR(VLOOKUP(C9, 'Birim Fiyat Master'!A$6:M$30, 9, FALSE), 99), VLOOKUP(C9, 'Birim Fiyat Master'!A$6:M$30, 8, FALSE), 4&gt;=IFERROR(VLOOKUP(C9, 'Birim Fiyat Master'!A$6:M$30, 7, FALSE), 99), VLOOKUP(C9, 'Birim Fiyat Master'!A$6:M$30, 6, FALSE), TRUE, VLOOKUP(C9, 'Birim Fiyat Master'!A$6:M$30, 4, FALSE))), VLOOKUP(C9, 'Birim Fiyat Master'!A$6:M$30, 4, FALSE))</f>
      </c>
      <c r="X9" s="20">
        <f t="shared" ca="1" si="7"/>
      </c>
      <c r="Y9" s="19"/>
      <c r="Z9" s="19">
        <f t="shared" si="8"/>
      </c>
      <c r="AA9" s="20">
        <f ca="1">IFERROR(IF(C9="", "", _xludf.IFS(5&gt;=IFERROR(VLOOKUP(C9, 'Birim Fiyat Master'!A$6:M$30, 13, FALSE), 99), VLOOKUP(C9, 'Birim Fiyat Master'!A$6:M$30, 12, FALSE), 5&gt;=IFERROR(VLOOKUP(C9, 'Birim Fiyat Master'!A$6:M$30, 11, FALSE), 99), VLOOKUP(C9, 'Birim Fiyat Master'!A$6:M$30, 10, FALSE), 5&gt;=IFERROR(VLOOKUP(C9, 'Birim Fiyat Master'!A$6:M$30, 9, FALSE), 99), VLOOKUP(C9, 'Birim Fiyat Master'!A$6:M$30, 8, FALSE), 5&gt;=IFERROR(VLOOKUP(C9, 'Birim Fiyat Master'!A$6:M$30, 7, FALSE), 99), VLOOKUP(C9, 'Birim Fiyat Master'!A$6:M$30, 6, FALSE), TRUE, VLOOKUP(C9, 'Birim Fiyat Master'!A$6:M$30, 4, FALSE))), VLOOKUP(C9, 'Birim Fiyat Master'!A$6:M$30, 4, FALSE))</f>
      </c>
      <c r="AB9" s="20">
        <f t="shared" ca="1" si="9"/>
      </c>
      <c r="AC9" s="19"/>
      <c r="AD9" s="19">
        <f t="shared" si="10"/>
      </c>
      <c r="AE9" s="20">
        <f ca="1">IFERROR(IF(C9="", "", _xludf.IFS(6&gt;=IFERROR(VLOOKUP(C9, 'Birim Fiyat Master'!A$6:M$30, 13, FALSE), 99), VLOOKUP(C9, 'Birim Fiyat Master'!A$6:M$30, 12, FALSE), 6&gt;=IFERROR(VLOOKUP(C9, 'Birim Fiyat Master'!A$6:M$30, 11, FALSE), 99), VLOOKUP(C9, 'Birim Fiyat Master'!A$6:M$30, 10, FALSE), 6&gt;=IFERROR(VLOOKUP(C9, 'Birim Fiyat Master'!A$6:M$30, 9, FALSE), 99), VLOOKUP(C9, 'Birim Fiyat Master'!A$6:M$30, 8, FALSE), 6&gt;=IFERROR(VLOOKUP(C9, 'Birim Fiyat Master'!A$6:M$30, 7, FALSE), 99), VLOOKUP(C9, 'Birim Fiyat Master'!A$6:M$30, 6, FALSE), TRUE, VLOOKUP(C9, 'Birim Fiyat Master'!A$6:M$30, 4, FALSE))), VLOOKUP(C9, 'Birim Fiyat Master'!A$6:M$30, 4, FALSE))</f>
      </c>
      <c r="AF9" s="20">
        <f t="shared" ca="1" si="11"/>
      </c>
      <c r="AG9" s="19"/>
      <c r="AH9" s="19">
        <f t="shared" si="12"/>
      </c>
      <c r="AI9" s="20">
        <f ca="1">IFERROR(IF(C9="", "", _xludf.IFS(7&gt;=IFERROR(VLOOKUP(C9, 'Birim Fiyat Master'!A$6:M$30, 13, FALSE), 99), VLOOKUP(C9, 'Birim Fiyat Master'!A$6:M$30, 12, FALSE), 7&gt;=IFERROR(VLOOKUP(C9, 'Birim Fiyat Master'!A$6:M$30, 11, FALSE), 99), VLOOKUP(C9, 'Birim Fiyat Master'!A$6:M$30, 10, FALSE), 7&gt;=IFERROR(VLOOKUP(C9, 'Birim Fiyat Master'!A$6:M$30, 9, FALSE), 99), VLOOKUP(C9, 'Birim Fiyat Master'!A$6:M$30, 8, FALSE), 7&gt;=IFERROR(VLOOKUP(C9, 'Birim Fiyat Master'!A$6:M$30, 7, FALSE), 99), VLOOKUP(C9, 'Birim Fiyat Master'!A$6:M$30, 6, FALSE), TRUE, VLOOKUP(C9, 'Birim Fiyat Master'!A$6:M$30, 4, FALSE))), VLOOKUP(C9, 'Birim Fiyat Master'!A$6:M$30, 4, FALSE))</f>
      </c>
      <c r="AJ9" s="20">
        <f t="shared" ca="1" si="13"/>
      </c>
      <c r="AK9" s="19"/>
      <c r="AL9" s="19">
        <f t="shared" si="14"/>
      </c>
      <c r="AM9" s="20">
        <f ca="1">IFERROR(IF(C9="", "", _xludf.IFS(8&gt;=IFERROR(VLOOKUP(C9, 'Birim Fiyat Master'!A$6:M$30, 13, FALSE), 99), VLOOKUP(C9, 'Birim Fiyat Master'!A$6:M$30, 12, FALSE), 8&gt;=IFERROR(VLOOKUP(C9, 'Birim Fiyat Master'!A$6:M$30, 11, FALSE), 99), VLOOKUP(C9, 'Birim Fiyat Master'!A$6:M$30, 10, FALSE), 8&gt;=IFERROR(VLOOKUP(C9, 'Birim Fiyat Master'!A$6:M$30, 9, FALSE), 99), VLOOKUP(C9, 'Birim Fiyat Master'!A$6:M$30, 8, FALSE), 8&gt;=IFERROR(VLOOKUP(C9, 'Birim Fiyat Master'!A$6:M$30, 7, FALSE), 99), VLOOKUP(C9, 'Birim Fiyat Master'!A$6:M$30, 6, FALSE), TRUE, VLOOKUP(C9, 'Birim Fiyat Master'!A$6:M$30, 4, FALSE))), VLOOKUP(C9, 'Birim Fiyat Master'!A$6:M$30, 4, FALSE))</f>
      </c>
      <c r="AN9" s="20">
        <f t="shared" ca="1" si="15"/>
      </c>
      <c r="AO9" s="19"/>
      <c r="AP9" s="19">
        <f t="shared" si="16"/>
      </c>
      <c r="AQ9" s="20">
        <f ca="1">IFERROR(IF(C9="", "", _xludf.IFS(9&gt;=IFERROR(VLOOKUP(C9, 'Birim Fiyat Master'!A$6:M$30, 13, FALSE), 99), VLOOKUP(C9, 'Birim Fiyat Master'!A$6:M$30, 12, FALSE), 9&gt;=IFERROR(VLOOKUP(C9, 'Birim Fiyat Master'!A$6:M$30, 11, FALSE), 99), VLOOKUP(C9, 'Birim Fiyat Master'!A$6:M$30, 10, FALSE), 9&gt;=IFERROR(VLOOKUP(C9, 'Birim Fiyat Master'!A$6:M$30, 9, FALSE), 99), VLOOKUP(C9, 'Birim Fiyat Master'!A$6:M$30, 8, FALSE), 9&gt;=IFERROR(VLOOKUP(C9, 'Birim Fiyat Master'!A$6:M$30, 7, FALSE), 99), VLOOKUP(C9, 'Birim Fiyat Master'!A$6:M$30, 6, FALSE), TRUE, VLOOKUP(C9, 'Birim Fiyat Master'!A$6:M$30, 4, FALSE))), VLOOKUP(C9, 'Birim Fiyat Master'!A$6:M$30, 4, FALSE))</f>
      </c>
      <c r="AR9" s="20">
        <f t="shared" ca="1" si="17"/>
      </c>
      <c r="AS9" s="19"/>
      <c r="AT9" s="19">
        <f t="shared" si="18"/>
      </c>
      <c r="AU9" s="20">
        <f ca="1">IFERROR(IF(C9="", "", _xludf.IFS(10&gt;=IFERROR(VLOOKUP(C9, 'Birim Fiyat Master'!A$6:M$30, 13, FALSE), 99), VLOOKUP(C9, 'Birim Fiyat Master'!A$6:M$30, 12, FALSE), 10&gt;=IFERROR(VLOOKUP(C9, 'Birim Fiyat Master'!A$6:M$30, 11, FALSE), 99), VLOOKUP(C9, 'Birim Fiyat Master'!A$6:M$30, 10, FALSE), 10&gt;=IFERROR(VLOOKUP(C9, 'Birim Fiyat Master'!A$6:M$30, 9, FALSE), 99), VLOOKUP(C9, 'Birim Fiyat Master'!A$6:M$30, 8, FALSE), 10&gt;=IFERROR(VLOOKUP(C9, 'Birim Fiyat Master'!A$6:M$30, 7, FALSE), 99), VLOOKUP(C9, 'Birim Fiyat Master'!A$6:M$30, 6, FALSE), TRUE, VLOOKUP(C9, 'Birim Fiyat Master'!A$6:M$30, 4, FALSE))), VLOOKUP(C9, 'Birim Fiyat Master'!A$6:M$30, 4, FALSE))</f>
      </c>
      <c r="AV9" s="20">
        <f t="shared" ca="1" si="19"/>
      </c>
      <c r="AW9" s="19"/>
      <c r="AX9" s="19">
        <f t="shared" si="20"/>
      </c>
      <c r="AY9" s="20">
        <f ca="1">IFERROR(IF(C9="", "", _xludf.IFS(11&gt;=IFERROR(VLOOKUP(C9, 'Birim Fiyat Master'!A$6:M$30, 13, FALSE), 99), VLOOKUP(C9, 'Birim Fiyat Master'!A$6:M$30, 12, FALSE), 11&gt;=IFERROR(VLOOKUP(C9, 'Birim Fiyat Master'!A$6:M$30, 11, FALSE), 99), VLOOKUP(C9, 'Birim Fiyat Master'!A$6:M$30, 10, FALSE), 11&gt;=IFERROR(VLOOKUP(C9, 'Birim Fiyat Master'!A$6:M$30, 9, FALSE), 99), VLOOKUP(C9, 'Birim Fiyat Master'!A$6:M$30, 8, FALSE), 11&gt;=IFERROR(VLOOKUP(C9, 'Birim Fiyat Master'!A$6:M$30, 7, FALSE), 99), VLOOKUP(C9, 'Birim Fiyat Master'!A$6:M$30, 6, FALSE), TRUE, VLOOKUP(C9, 'Birim Fiyat Master'!A$6:M$30, 4, FALSE))), VLOOKUP(C9, 'Birim Fiyat Master'!A$6:M$30, 4, FALSE))</f>
      </c>
      <c r="AZ9" s="20">
        <f t="shared" ca="1" si="21"/>
      </c>
      <c r="BA9" s="19"/>
      <c r="BB9" s="19">
        <f t="shared" si="22"/>
      </c>
      <c r="BC9" s="20">
        <f ca="1">IFERROR(IF(C9="", "", _xludf.IFS(12&gt;=IFERROR(VLOOKUP(C9, 'Birim Fiyat Master'!A$6:M$30, 13, FALSE), 99), VLOOKUP(C9, 'Birim Fiyat Master'!A$6:M$30, 12, FALSE), 12&gt;=IFERROR(VLOOKUP(C9, 'Birim Fiyat Master'!A$6:M$30, 11, FALSE), 99), VLOOKUP(C9, 'Birim Fiyat Master'!A$6:M$30, 10, FALSE), 12&gt;=IFERROR(VLOOKUP(C9, 'Birim Fiyat Master'!A$6:M$30, 9, FALSE), 99), VLOOKUP(C9, 'Birim Fiyat Master'!A$6:M$30, 8, FALSE), 12&gt;=IFERROR(VLOOKUP(C9, 'Birim Fiyat Master'!A$6:M$30, 7, FALSE), 99), VLOOKUP(C9, 'Birim Fiyat Master'!A$6:M$30, 6, FALSE), TRUE, VLOOKUP(C9, 'Birim Fiyat Master'!A$6:M$30, 4, FALSE))), VLOOKUP(C9, 'Birim Fiyat Master'!A$6:M$30, 4, FALSE))</f>
      </c>
      <c r="BD9" s="20">
        <f t="shared" ca="1" si="23"/>
      </c>
      <c r="BE9" s="19"/>
      <c r="BF9" s="19">
        <f t="shared" si="24"/>
      </c>
      <c r="BG9" s="20">
        <f ca="1">IFERROR(IF(C9="", "", _xludf.IFS(13&gt;=IFERROR(VLOOKUP(C9, 'Birim Fiyat Master'!A$6:M$30, 13, FALSE), 99), VLOOKUP(C9, 'Birim Fiyat Master'!A$6:M$30, 12, FALSE), 13&gt;=IFERROR(VLOOKUP(C9, 'Birim Fiyat Master'!A$6:M$30, 11, FALSE), 99), VLOOKUP(C9, 'Birim Fiyat Master'!A$6:M$30, 10, FALSE), 13&gt;=IFERROR(VLOOKUP(C9, 'Birim Fiyat Master'!A$6:M$30, 9, FALSE), 99), VLOOKUP(C9, 'Birim Fiyat Master'!A$6:M$30, 8, FALSE), 13&gt;=IFERROR(VLOOKUP(C9, 'Birim Fiyat Master'!A$6:M$30, 7, FALSE), 99), VLOOKUP(C9, 'Birim Fiyat Master'!A$6:M$30, 6, FALSE), TRUE, VLOOKUP(C9, 'Birim Fiyat Master'!A$6:M$30, 4, FALSE))), VLOOKUP(C9, 'Birim Fiyat Master'!A$6:M$30, 4, FALSE))</f>
      </c>
      <c r="BH9" s="20">
        <f t="shared" ca="1" si="25"/>
      </c>
      <c r="BI9" s="19"/>
      <c r="BJ9" s="19">
        <f t="shared" si="26"/>
      </c>
      <c r="BK9" s="20">
        <f ca="1">IFERROR(IF(C9="", "", _xludf.IFS(14&gt;=IFERROR(VLOOKUP(C9, 'Birim Fiyat Master'!A$6:M$30, 13, FALSE), 99), VLOOKUP(C9, 'Birim Fiyat Master'!A$6:M$30, 12, FALSE), 14&gt;=IFERROR(VLOOKUP(C9, 'Birim Fiyat Master'!A$6:M$30, 11, FALSE), 99), VLOOKUP(C9, 'Birim Fiyat Master'!A$6:M$30, 10, FALSE), 14&gt;=IFERROR(VLOOKUP(C9, 'Birim Fiyat Master'!A$6:M$30, 9, FALSE), 99), VLOOKUP(C9, 'Birim Fiyat Master'!A$6:M$30, 8, FALSE), 14&gt;=IFERROR(VLOOKUP(C9, 'Birim Fiyat Master'!A$6:M$30, 7, FALSE), 99), VLOOKUP(C9, 'Birim Fiyat Master'!A$6:M$30, 6, FALSE), TRUE, VLOOKUP(C9, 'Birim Fiyat Master'!A$6:M$30, 4, FALSE))), VLOOKUP(C9, 'Birim Fiyat Master'!A$6:M$30, 4, FALSE))</f>
      </c>
      <c r="BL9" s="20">
        <f t="shared" ca="1" si="27"/>
      </c>
      <c r="BM9" s="19"/>
      <c r="BN9" s="19">
        <f t="shared" si="28"/>
      </c>
      <c r="BO9" s="20">
        <f ca="1">IFERROR(IF(C9="", "", _xludf.IFS(15&gt;=IFERROR(VLOOKUP(C9, 'Birim Fiyat Master'!A$6:M$30, 13, FALSE), 99), VLOOKUP(C9, 'Birim Fiyat Master'!A$6:M$30, 12, FALSE), 15&gt;=IFERROR(VLOOKUP(C9, 'Birim Fiyat Master'!A$6:M$30, 11, FALSE), 99), VLOOKUP(C9, 'Birim Fiyat Master'!A$6:M$30, 10, FALSE), 15&gt;=IFERROR(VLOOKUP(C9, 'Birim Fiyat Master'!A$6:M$30, 9, FALSE), 99), VLOOKUP(C9, 'Birim Fiyat Master'!A$6:M$30, 8, FALSE), 15&gt;=IFERROR(VLOOKUP(C9, 'Birim Fiyat Master'!A$6:M$30, 7, FALSE), 99), VLOOKUP(C9, 'Birim Fiyat Master'!A$6:M$30, 6, FALSE), TRUE, VLOOKUP(C9, 'Birim Fiyat Master'!A$6:M$30, 4, FALSE))), VLOOKUP(C9, 'Birim Fiyat Master'!A$6:M$30, 4, FALSE))</f>
      </c>
      <c r="BP9" s="20">
        <f t="shared" ca="1" si="29"/>
      </c>
      <c r="BQ9" s="3"/>
    </row>
    <row r="10" spans="1:69" ht="22.05" customHeight="1" x14ac:dyDescent="0.3">
      <c r="A10" s="17"/>
      <c r="B10" s="18"/>
      <c r="C10" s="2"/>
      <c r="D10" s="18" t="str">
        <f>IFERROR(VLOOKUP(C10, 'Birim Fiyat Master'!A$6:M$30, 2, FALSE), "")</f>
      </c>
      <c r="E10" s="18" t="str">
        <f>IFERROR(VLOOKUP(C10, 'Birim Fiyat Master'!A$6:M$30, 3, FALSE), "")</f>
      </c>
      <c r="F10" s="19"/>
      <c r="G10" s="19">
        <f t="shared" si="0"/>
      </c>
      <c r="H10" s="19"/>
      <c r="I10" s="19"/>
      <c r="J10" s="19">
        <f t="shared" ref="J7:J13" si="30">H10+I10</f>
      </c>
      <c r="K10" s="20">
        <f ca="1">IFERROR(IF(C10="", "", _xludf.IFS(1&gt;=IFERROR(VLOOKUP(C10, 'Birim Fiyat Master'!A$6:M$30, 13, FALSE), 99), VLOOKUP(C10, 'Birim Fiyat Master'!A$6:M$30, 12, FALSE), 1&gt;=IFERROR(VLOOKUP(C10, 'Birim Fiyat Master'!A$6:M$30, 11, FALSE), 99), VLOOKUP(C10, 'Birim Fiyat Master'!A$6:M$30, 10, FALSE), 1&gt;=IFERROR(VLOOKUP(C10, 'Birim Fiyat Master'!A$6:M$30, 9, FALSE), 99), VLOOKUP(C10, 'Birim Fiyat Master'!A$6:M$30, 8, FALSE), 1&gt;=IFERROR(VLOOKUP(C10, 'Birim Fiyat Master'!A$6:M$30, 7, FALSE), 99), VLOOKUP(C10, 'Birim Fiyat Master'!A$6:M$30, 6, FALSE), TRUE, VLOOKUP(C10, 'Birim Fiyat Master'!A$6:M$30, 4, FALSE))), VLOOKUP(C10, 'Birim Fiyat Master'!A$6:M$30, 4, FALSE))</f>
      </c>
      <c r="L10" s="20">
        <f t="shared" ca="1" si="1"/>
      </c>
      <c r="M10" s="19"/>
      <c r="N10" s="19">
        <f t="shared" si="2"/>
      </c>
      <c r="O10" s="20">
        <f ca="1">IFERROR(IF(C10="", "", _xludf.IFS(2&gt;=IFERROR(VLOOKUP(C10, 'Birim Fiyat Master'!A$6:M$30, 13, FALSE), 99), VLOOKUP(C10, 'Birim Fiyat Master'!A$6:M$30, 12, FALSE), 2&gt;=IFERROR(VLOOKUP(C10, 'Birim Fiyat Master'!A$6:M$30, 11, FALSE), 99), VLOOKUP(C10, 'Birim Fiyat Master'!A$6:M$30, 10, FALSE), 2&gt;=IFERROR(VLOOKUP(C10, 'Birim Fiyat Master'!A$6:M$30, 9, FALSE), 99), VLOOKUP(C10, 'Birim Fiyat Master'!A$6:M$30, 8, FALSE), 2&gt;=IFERROR(VLOOKUP(C10, 'Birim Fiyat Master'!A$6:M$30, 7, FALSE), 99), VLOOKUP(C10, 'Birim Fiyat Master'!A$6:M$30, 6, FALSE), TRUE, VLOOKUP(C10, 'Birim Fiyat Master'!A$6:M$30, 4, FALSE))), VLOOKUP(C10, 'Birim Fiyat Master'!A$6:M$30, 4, FALSE))</f>
      </c>
      <c r="P10" s="20">
        <f t="shared" ca="1" si="3"/>
      </c>
      <c r="Q10" s="19"/>
      <c r="R10" s="19">
        <f t="shared" si="4"/>
      </c>
      <c r="S10" s="20">
        <f ca="1">IFERROR(IF(C10="", "", _xludf.IFS(3&gt;=IFERROR(VLOOKUP(C10, 'Birim Fiyat Master'!A$6:M$30, 13, FALSE), 99), VLOOKUP(C10, 'Birim Fiyat Master'!A$6:M$30, 12, FALSE), 3&gt;=IFERROR(VLOOKUP(C10, 'Birim Fiyat Master'!A$6:M$30, 11, FALSE), 99), VLOOKUP(C10, 'Birim Fiyat Master'!A$6:M$30, 10, FALSE), 3&gt;=IFERROR(VLOOKUP(C10, 'Birim Fiyat Master'!A$6:M$30, 9, FALSE), 99), VLOOKUP(C10, 'Birim Fiyat Master'!A$6:M$30, 8, FALSE), 3&gt;=IFERROR(VLOOKUP(C10, 'Birim Fiyat Master'!A$6:M$30, 7, FALSE), 99), VLOOKUP(C10, 'Birim Fiyat Master'!A$6:M$30, 6, FALSE), TRUE, VLOOKUP(C10, 'Birim Fiyat Master'!A$6:M$30, 4, FALSE))), VLOOKUP(C10, 'Birim Fiyat Master'!A$6:M$30, 4, FALSE))</f>
      </c>
      <c r="T10" s="20">
        <f t="shared" ca="1" si="5"/>
      </c>
      <c r="U10" s="19"/>
      <c r="V10" s="19">
        <f t="shared" si="6"/>
      </c>
      <c r="W10" s="20">
        <f ca="1">IFERROR(IF(C10="", "", _xludf.IFS(4&gt;=IFERROR(VLOOKUP(C10, 'Birim Fiyat Master'!A$6:M$30, 13, FALSE), 99), VLOOKUP(C10, 'Birim Fiyat Master'!A$6:M$30, 12, FALSE), 4&gt;=IFERROR(VLOOKUP(C10, 'Birim Fiyat Master'!A$6:M$30, 11, FALSE), 99), VLOOKUP(C10, 'Birim Fiyat Master'!A$6:M$30, 10, FALSE), 4&gt;=IFERROR(VLOOKUP(C10, 'Birim Fiyat Master'!A$6:M$30, 9, FALSE), 99), VLOOKUP(C10, 'Birim Fiyat Master'!A$6:M$30, 8, FALSE), 4&gt;=IFERROR(VLOOKUP(C10, 'Birim Fiyat Master'!A$6:M$30, 7, FALSE), 99), VLOOKUP(C10, 'Birim Fiyat Master'!A$6:M$30, 6, FALSE), TRUE, VLOOKUP(C10, 'Birim Fiyat Master'!A$6:M$30, 4, FALSE))), VLOOKUP(C10, 'Birim Fiyat Master'!A$6:M$30, 4, FALSE))</f>
      </c>
      <c r="X10" s="20">
        <f t="shared" ca="1" si="7"/>
      </c>
      <c r="Y10" s="19"/>
      <c r="Z10" s="19">
        <f t="shared" si="8"/>
      </c>
      <c r="AA10" s="20">
        <f ca="1">IFERROR(IF(C10="", "", _xludf.IFS(5&gt;=IFERROR(VLOOKUP(C10, 'Birim Fiyat Master'!A$6:M$30, 13, FALSE), 99), VLOOKUP(C10, 'Birim Fiyat Master'!A$6:M$30, 12, FALSE), 5&gt;=IFERROR(VLOOKUP(C10, 'Birim Fiyat Master'!A$6:M$30, 11, FALSE), 99), VLOOKUP(C10, 'Birim Fiyat Master'!A$6:M$30, 10, FALSE), 5&gt;=IFERROR(VLOOKUP(C10, 'Birim Fiyat Master'!A$6:M$30, 9, FALSE), 99), VLOOKUP(C10, 'Birim Fiyat Master'!A$6:M$30, 8, FALSE), 5&gt;=IFERROR(VLOOKUP(C10, 'Birim Fiyat Master'!A$6:M$30, 7, FALSE), 99), VLOOKUP(C10, 'Birim Fiyat Master'!A$6:M$30, 6, FALSE), TRUE, VLOOKUP(C10, 'Birim Fiyat Master'!A$6:M$30, 4, FALSE))), VLOOKUP(C10, 'Birim Fiyat Master'!A$6:M$30, 4, FALSE))</f>
      </c>
      <c r="AB10" s="20">
        <f t="shared" ca="1" si="9"/>
      </c>
      <c r="AC10" s="19"/>
      <c r="AD10" s="19">
        <f t="shared" si="10"/>
      </c>
      <c r="AE10" s="20">
        <f ca="1">IFERROR(IF(C10="", "", _xludf.IFS(6&gt;=IFERROR(VLOOKUP(C10, 'Birim Fiyat Master'!A$6:M$30, 13, FALSE), 99), VLOOKUP(C10, 'Birim Fiyat Master'!A$6:M$30, 12, FALSE), 6&gt;=IFERROR(VLOOKUP(C10, 'Birim Fiyat Master'!A$6:M$30, 11, FALSE), 99), VLOOKUP(C10, 'Birim Fiyat Master'!A$6:M$30, 10, FALSE), 6&gt;=IFERROR(VLOOKUP(C10, 'Birim Fiyat Master'!A$6:M$30, 9, FALSE), 99), VLOOKUP(C10, 'Birim Fiyat Master'!A$6:M$30, 8, FALSE), 6&gt;=IFERROR(VLOOKUP(C10, 'Birim Fiyat Master'!A$6:M$30, 7, FALSE), 99), VLOOKUP(C10, 'Birim Fiyat Master'!A$6:M$30, 6, FALSE), TRUE, VLOOKUP(C10, 'Birim Fiyat Master'!A$6:M$30, 4, FALSE))), VLOOKUP(C10, 'Birim Fiyat Master'!A$6:M$30, 4, FALSE))</f>
      </c>
      <c r="AF10" s="20">
        <f t="shared" ca="1" si="11"/>
      </c>
      <c r="AG10" s="19"/>
      <c r="AH10" s="19">
        <f t="shared" si="12"/>
      </c>
      <c r="AI10" s="20">
        <f ca="1">IFERROR(IF(C10="", "", _xludf.IFS(7&gt;=IFERROR(VLOOKUP(C10, 'Birim Fiyat Master'!A$6:M$30, 13, FALSE), 99), VLOOKUP(C10, 'Birim Fiyat Master'!A$6:M$30, 12, FALSE), 7&gt;=IFERROR(VLOOKUP(C10, 'Birim Fiyat Master'!A$6:M$30, 11, FALSE), 99), VLOOKUP(C10, 'Birim Fiyat Master'!A$6:M$30, 10, FALSE), 7&gt;=IFERROR(VLOOKUP(C10, 'Birim Fiyat Master'!A$6:M$30, 9, FALSE), 99), VLOOKUP(C10, 'Birim Fiyat Master'!A$6:M$30, 8, FALSE), 7&gt;=IFERROR(VLOOKUP(C10, 'Birim Fiyat Master'!A$6:M$30, 7, FALSE), 99), VLOOKUP(C10, 'Birim Fiyat Master'!A$6:M$30, 6, FALSE), TRUE, VLOOKUP(C10, 'Birim Fiyat Master'!A$6:M$30, 4, FALSE))), VLOOKUP(C10, 'Birim Fiyat Master'!A$6:M$30, 4, FALSE))</f>
      </c>
      <c r="AJ10" s="20">
        <f t="shared" ca="1" si="13"/>
      </c>
      <c r="AK10" s="19"/>
      <c r="AL10" s="19">
        <f t="shared" si="14"/>
      </c>
      <c r="AM10" s="20">
        <f ca="1">IFERROR(IF(C10="", "", _xludf.IFS(8&gt;=IFERROR(VLOOKUP(C10, 'Birim Fiyat Master'!A$6:M$30, 13, FALSE), 99), VLOOKUP(C10, 'Birim Fiyat Master'!A$6:M$30, 12, FALSE), 8&gt;=IFERROR(VLOOKUP(C10, 'Birim Fiyat Master'!A$6:M$30, 11, FALSE), 99), VLOOKUP(C10, 'Birim Fiyat Master'!A$6:M$30, 10, FALSE), 8&gt;=IFERROR(VLOOKUP(C10, 'Birim Fiyat Master'!A$6:M$30, 9, FALSE), 99), VLOOKUP(C10, 'Birim Fiyat Master'!A$6:M$30, 8, FALSE), 8&gt;=IFERROR(VLOOKUP(C10, 'Birim Fiyat Master'!A$6:M$30, 7, FALSE), 99), VLOOKUP(C10, 'Birim Fiyat Master'!A$6:M$30, 6, FALSE), TRUE, VLOOKUP(C10, 'Birim Fiyat Master'!A$6:M$30, 4, FALSE))), VLOOKUP(C10, 'Birim Fiyat Master'!A$6:M$30, 4, FALSE))</f>
      </c>
      <c r="AN10" s="20">
        <f t="shared" ca="1" si="15"/>
      </c>
      <c r="AO10" s="19"/>
      <c r="AP10" s="19">
        <f t="shared" si="16"/>
      </c>
      <c r="AQ10" s="20">
        <f ca="1">IFERROR(IF(C10="", "", _xludf.IFS(9&gt;=IFERROR(VLOOKUP(C10, 'Birim Fiyat Master'!A$6:M$30, 13, FALSE), 99), VLOOKUP(C10, 'Birim Fiyat Master'!A$6:M$30, 12, FALSE), 9&gt;=IFERROR(VLOOKUP(C10, 'Birim Fiyat Master'!A$6:M$30, 11, FALSE), 99), VLOOKUP(C10, 'Birim Fiyat Master'!A$6:M$30, 10, FALSE), 9&gt;=IFERROR(VLOOKUP(C10, 'Birim Fiyat Master'!A$6:M$30, 9, FALSE), 99), VLOOKUP(C10, 'Birim Fiyat Master'!A$6:M$30, 8, FALSE), 9&gt;=IFERROR(VLOOKUP(C10, 'Birim Fiyat Master'!A$6:M$30, 7, FALSE), 99), VLOOKUP(C10, 'Birim Fiyat Master'!A$6:M$30, 6, FALSE), TRUE, VLOOKUP(C10, 'Birim Fiyat Master'!A$6:M$30, 4, FALSE))), VLOOKUP(C10, 'Birim Fiyat Master'!A$6:M$30, 4, FALSE))</f>
      </c>
      <c r="AR10" s="20">
        <f t="shared" ca="1" si="17"/>
      </c>
      <c r="AS10" s="19"/>
      <c r="AT10" s="19">
        <f t="shared" si="18"/>
      </c>
      <c r="AU10" s="20">
        <f ca="1">IFERROR(IF(C10="", "", _xludf.IFS(10&gt;=IFERROR(VLOOKUP(C10, 'Birim Fiyat Master'!A$6:M$30, 13, FALSE), 99), VLOOKUP(C10, 'Birim Fiyat Master'!A$6:M$30, 12, FALSE), 10&gt;=IFERROR(VLOOKUP(C10, 'Birim Fiyat Master'!A$6:M$30, 11, FALSE), 99), VLOOKUP(C10, 'Birim Fiyat Master'!A$6:M$30, 10, FALSE), 10&gt;=IFERROR(VLOOKUP(C10, 'Birim Fiyat Master'!A$6:M$30, 9, FALSE), 99), VLOOKUP(C10, 'Birim Fiyat Master'!A$6:M$30, 8, FALSE), 10&gt;=IFERROR(VLOOKUP(C10, 'Birim Fiyat Master'!A$6:M$30, 7, FALSE), 99), VLOOKUP(C10, 'Birim Fiyat Master'!A$6:M$30, 6, FALSE), TRUE, VLOOKUP(C10, 'Birim Fiyat Master'!A$6:M$30, 4, FALSE))), VLOOKUP(C10, 'Birim Fiyat Master'!A$6:M$30, 4, FALSE))</f>
      </c>
      <c r="AV10" s="20">
        <f t="shared" ca="1" si="19"/>
      </c>
      <c r="AW10" s="19"/>
      <c r="AX10" s="19">
        <f t="shared" si="20"/>
      </c>
      <c r="AY10" s="20">
        <f ca="1">IFERROR(IF(C10="", "", _xludf.IFS(11&gt;=IFERROR(VLOOKUP(C10, 'Birim Fiyat Master'!A$6:M$30, 13, FALSE), 99), VLOOKUP(C10, 'Birim Fiyat Master'!A$6:M$30, 12, FALSE), 11&gt;=IFERROR(VLOOKUP(C10, 'Birim Fiyat Master'!A$6:M$30, 11, FALSE), 99), VLOOKUP(C10, 'Birim Fiyat Master'!A$6:M$30, 10, FALSE), 11&gt;=IFERROR(VLOOKUP(C10, 'Birim Fiyat Master'!A$6:M$30, 9, FALSE), 99), VLOOKUP(C10, 'Birim Fiyat Master'!A$6:M$30, 8, FALSE), 11&gt;=IFERROR(VLOOKUP(C10, 'Birim Fiyat Master'!A$6:M$30, 7, FALSE), 99), VLOOKUP(C10, 'Birim Fiyat Master'!A$6:M$30, 6, FALSE), TRUE, VLOOKUP(C10, 'Birim Fiyat Master'!A$6:M$30, 4, FALSE))), VLOOKUP(C10, 'Birim Fiyat Master'!A$6:M$30, 4, FALSE))</f>
      </c>
      <c r="AZ10" s="20">
        <f t="shared" ca="1" si="21"/>
      </c>
      <c r="BA10" s="19"/>
      <c r="BB10" s="19">
        <f t="shared" si="22"/>
      </c>
      <c r="BC10" s="20">
        <f ca="1">IFERROR(IF(C10="", "", _xludf.IFS(12&gt;=IFERROR(VLOOKUP(C10, 'Birim Fiyat Master'!A$6:M$30, 13, FALSE), 99), VLOOKUP(C10, 'Birim Fiyat Master'!A$6:M$30, 12, FALSE), 12&gt;=IFERROR(VLOOKUP(C10, 'Birim Fiyat Master'!A$6:M$30, 11, FALSE), 99), VLOOKUP(C10, 'Birim Fiyat Master'!A$6:M$30, 10, FALSE), 12&gt;=IFERROR(VLOOKUP(C10, 'Birim Fiyat Master'!A$6:M$30, 9, FALSE), 99), VLOOKUP(C10, 'Birim Fiyat Master'!A$6:M$30, 8, FALSE), 12&gt;=IFERROR(VLOOKUP(C10, 'Birim Fiyat Master'!A$6:M$30, 7, FALSE), 99), VLOOKUP(C10, 'Birim Fiyat Master'!A$6:M$30, 6, FALSE), TRUE, VLOOKUP(C10, 'Birim Fiyat Master'!A$6:M$30, 4, FALSE))), VLOOKUP(C10, 'Birim Fiyat Master'!A$6:M$30, 4, FALSE))</f>
      </c>
      <c r="BD10" s="20">
        <f t="shared" ca="1" si="23"/>
      </c>
      <c r="BE10" s="19"/>
      <c r="BF10" s="19">
        <f t="shared" si="24"/>
      </c>
      <c r="BG10" s="20">
        <f ca="1">IFERROR(IF(C10="", "", _xludf.IFS(13&gt;=IFERROR(VLOOKUP(C10, 'Birim Fiyat Master'!A$6:M$30, 13, FALSE), 99), VLOOKUP(C10, 'Birim Fiyat Master'!A$6:M$30, 12, FALSE), 13&gt;=IFERROR(VLOOKUP(C10, 'Birim Fiyat Master'!A$6:M$30, 11, FALSE), 99), VLOOKUP(C10, 'Birim Fiyat Master'!A$6:M$30, 10, FALSE), 13&gt;=IFERROR(VLOOKUP(C10, 'Birim Fiyat Master'!A$6:M$30, 9, FALSE), 99), VLOOKUP(C10, 'Birim Fiyat Master'!A$6:M$30, 8, FALSE), 13&gt;=IFERROR(VLOOKUP(C10, 'Birim Fiyat Master'!A$6:M$30, 7, FALSE), 99), VLOOKUP(C10, 'Birim Fiyat Master'!A$6:M$30, 6, FALSE), TRUE, VLOOKUP(C10, 'Birim Fiyat Master'!A$6:M$30, 4, FALSE))), VLOOKUP(C10, 'Birim Fiyat Master'!A$6:M$30, 4, FALSE))</f>
      </c>
      <c r="BH10" s="20">
        <f t="shared" ca="1" si="25"/>
      </c>
      <c r="BI10" s="19"/>
      <c r="BJ10" s="19">
        <f t="shared" si="26"/>
      </c>
      <c r="BK10" s="20">
        <f ca="1">IFERROR(IF(C10="", "", _xludf.IFS(14&gt;=IFERROR(VLOOKUP(C10, 'Birim Fiyat Master'!A$6:M$30, 13, FALSE), 99), VLOOKUP(C10, 'Birim Fiyat Master'!A$6:M$30, 12, FALSE), 14&gt;=IFERROR(VLOOKUP(C10, 'Birim Fiyat Master'!A$6:M$30, 11, FALSE), 99), VLOOKUP(C10, 'Birim Fiyat Master'!A$6:M$30, 10, FALSE), 14&gt;=IFERROR(VLOOKUP(C10, 'Birim Fiyat Master'!A$6:M$30, 9, FALSE), 99), VLOOKUP(C10, 'Birim Fiyat Master'!A$6:M$30, 8, FALSE), 14&gt;=IFERROR(VLOOKUP(C10, 'Birim Fiyat Master'!A$6:M$30, 7, FALSE), 99), VLOOKUP(C10, 'Birim Fiyat Master'!A$6:M$30, 6, FALSE), TRUE, VLOOKUP(C10, 'Birim Fiyat Master'!A$6:M$30, 4, FALSE))), VLOOKUP(C10, 'Birim Fiyat Master'!A$6:M$30, 4, FALSE))</f>
      </c>
      <c r="BL10" s="20">
        <f t="shared" ca="1" si="27"/>
      </c>
      <c r="BM10" s="19"/>
      <c r="BN10" s="19">
        <f t="shared" si="28"/>
      </c>
      <c r="BO10" s="20">
        <f ca="1">IFERROR(IF(C10="", "", _xludf.IFS(15&gt;=IFERROR(VLOOKUP(C10, 'Birim Fiyat Master'!A$6:M$30, 13, FALSE), 99), VLOOKUP(C10, 'Birim Fiyat Master'!A$6:M$30, 12, FALSE), 15&gt;=IFERROR(VLOOKUP(C10, 'Birim Fiyat Master'!A$6:M$30, 11, FALSE), 99), VLOOKUP(C10, 'Birim Fiyat Master'!A$6:M$30, 10, FALSE), 15&gt;=IFERROR(VLOOKUP(C10, 'Birim Fiyat Master'!A$6:M$30, 9, FALSE), 99), VLOOKUP(C10, 'Birim Fiyat Master'!A$6:M$30, 8, FALSE), 15&gt;=IFERROR(VLOOKUP(C10, 'Birim Fiyat Master'!A$6:M$30, 7, FALSE), 99), VLOOKUP(C10, 'Birim Fiyat Master'!A$6:M$30, 6, FALSE), TRUE, VLOOKUP(C10, 'Birim Fiyat Master'!A$6:M$30, 4, FALSE))), VLOOKUP(C10, 'Birim Fiyat Master'!A$6:M$30, 4, FALSE))</f>
      </c>
      <c r="BP10" s="20">
        <f t="shared" ca="1" si="29"/>
      </c>
      <c r="BQ10" s="3"/>
    </row>
    <row r="11" spans="1:69" ht="22.05" customHeight="1" x14ac:dyDescent="0.3">
      <c r="A11" s="17"/>
      <c r="B11" s="18"/>
      <c r="C11" s="2"/>
      <c r="D11" s="18" t="str">
        <f>IFERROR(VLOOKUP(C11, 'Birim Fiyat Master'!A$6:M$30, 2, FALSE), "")</f>
      </c>
      <c r="E11" s="18" t="str">
        <f>IFERROR(VLOOKUP(C11, 'Birim Fiyat Master'!A$6:M$30, 3, FALSE), "")</f>
      </c>
      <c r="F11" s="19"/>
      <c r="G11" s="19">
        <f t="shared" si="0"/>
      </c>
      <c r="H11" s="19"/>
      <c r="I11" s="19"/>
      <c r="J11" s="19">
        <f t="shared" si="30"/>
      </c>
      <c r="K11" s="20">
        <f ca="1">IFERROR(IF(C11="", "", _xludf.IFS(1&gt;=IFERROR(VLOOKUP(C11, 'Birim Fiyat Master'!A$6:M$30, 13, FALSE), 99), VLOOKUP(C11, 'Birim Fiyat Master'!A$6:M$30, 12, FALSE), 1&gt;=IFERROR(VLOOKUP(C11, 'Birim Fiyat Master'!A$6:M$30, 11, FALSE), 99), VLOOKUP(C11, 'Birim Fiyat Master'!A$6:M$30, 10, FALSE), 1&gt;=IFERROR(VLOOKUP(C11, 'Birim Fiyat Master'!A$6:M$30, 9, FALSE), 99), VLOOKUP(C11, 'Birim Fiyat Master'!A$6:M$30, 8, FALSE), 1&gt;=IFERROR(VLOOKUP(C11, 'Birim Fiyat Master'!A$6:M$30, 7, FALSE), 99), VLOOKUP(C11, 'Birim Fiyat Master'!A$6:M$30, 6, FALSE), TRUE, VLOOKUP(C11, 'Birim Fiyat Master'!A$6:M$30, 4, FALSE))), VLOOKUP(C11, 'Birim Fiyat Master'!A$6:M$30, 4, FALSE))</f>
      </c>
      <c r="L11" s="20">
        <f t="shared" ca="1" si="1"/>
      </c>
      <c r="M11" s="19"/>
      <c r="N11" s="19">
        <f t="shared" si="2"/>
      </c>
      <c r="O11" s="20">
        <f ca="1">IFERROR(IF(C11="", "", _xludf.IFS(2&gt;=IFERROR(VLOOKUP(C11, 'Birim Fiyat Master'!A$6:M$30, 13, FALSE), 99), VLOOKUP(C11, 'Birim Fiyat Master'!A$6:M$30, 12, FALSE), 2&gt;=IFERROR(VLOOKUP(C11, 'Birim Fiyat Master'!A$6:M$30, 11, FALSE), 99), VLOOKUP(C11, 'Birim Fiyat Master'!A$6:M$30, 10, FALSE), 2&gt;=IFERROR(VLOOKUP(C11, 'Birim Fiyat Master'!A$6:M$30, 9, FALSE), 99), VLOOKUP(C11, 'Birim Fiyat Master'!A$6:M$30, 8, FALSE), 2&gt;=IFERROR(VLOOKUP(C11, 'Birim Fiyat Master'!A$6:M$30, 7, FALSE), 99), VLOOKUP(C11, 'Birim Fiyat Master'!A$6:M$30, 6, FALSE), TRUE, VLOOKUP(C11, 'Birim Fiyat Master'!A$6:M$30, 4, FALSE))), VLOOKUP(C11, 'Birim Fiyat Master'!A$6:M$30, 4, FALSE))</f>
      </c>
      <c r="P11" s="20">
        <f t="shared" ca="1" si="3"/>
      </c>
      <c r="Q11" s="19"/>
      <c r="R11" s="19">
        <f t="shared" si="4"/>
      </c>
      <c r="S11" s="20">
        <f ca="1">IFERROR(IF(C11="", "", _xludf.IFS(3&gt;=IFERROR(VLOOKUP(C11, 'Birim Fiyat Master'!A$6:M$30, 13, FALSE), 99), VLOOKUP(C11, 'Birim Fiyat Master'!A$6:M$30, 12, FALSE), 3&gt;=IFERROR(VLOOKUP(C11, 'Birim Fiyat Master'!A$6:M$30, 11, FALSE), 99), VLOOKUP(C11, 'Birim Fiyat Master'!A$6:M$30, 10, FALSE), 3&gt;=IFERROR(VLOOKUP(C11, 'Birim Fiyat Master'!A$6:M$30, 9, FALSE), 99), VLOOKUP(C11, 'Birim Fiyat Master'!A$6:M$30, 8, FALSE), 3&gt;=IFERROR(VLOOKUP(C11, 'Birim Fiyat Master'!A$6:M$30, 7, FALSE), 99), VLOOKUP(C11, 'Birim Fiyat Master'!A$6:M$30, 6, FALSE), TRUE, VLOOKUP(C11, 'Birim Fiyat Master'!A$6:M$30, 4, FALSE))), VLOOKUP(C11, 'Birim Fiyat Master'!A$6:M$30, 4, FALSE))</f>
      </c>
      <c r="T11" s="20">
        <f t="shared" ca="1" si="5"/>
      </c>
      <c r="U11" s="19"/>
      <c r="V11" s="19">
        <f t="shared" si="6"/>
      </c>
      <c r="W11" s="20">
        <f ca="1">IFERROR(IF(C11="", "", _xludf.IFS(4&gt;=IFERROR(VLOOKUP(C11, 'Birim Fiyat Master'!A$6:M$30, 13, FALSE), 99), VLOOKUP(C11, 'Birim Fiyat Master'!A$6:M$30, 12, FALSE), 4&gt;=IFERROR(VLOOKUP(C11, 'Birim Fiyat Master'!A$6:M$30, 11, FALSE), 99), VLOOKUP(C11, 'Birim Fiyat Master'!A$6:M$30, 10, FALSE), 4&gt;=IFERROR(VLOOKUP(C11, 'Birim Fiyat Master'!A$6:M$30, 9, FALSE), 99), VLOOKUP(C11, 'Birim Fiyat Master'!A$6:M$30, 8, FALSE), 4&gt;=IFERROR(VLOOKUP(C11, 'Birim Fiyat Master'!A$6:M$30, 7, FALSE), 99), VLOOKUP(C11, 'Birim Fiyat Master'!A$6:M$30, 6, FALSE), TRUE, VLOOKUP(C11, 'Birim Fiyat Master'!A$6:M$30, 4, FALSE))), VLOOKUP(C11, 'Birim Fiyat Master'!A$6:M$30, 4, FALSE))</f>
      </c>
      <c r="X11" s="20">
        <f t="shared" ca="1" si="7"/>
      </c>
      <c r="Y11" s="19"/>
      <c r="Z11" s="19">
        <f t="shared" si="8"/>
      </c>
      <c r="AA11" s="20">
        <f ca="1">IFERROR(IF(C11="", "", _xludf.IFS(5&gt;=IFERROR(VLOOKUP(C11, 'Birim Fiyat Master'!A$6:M$30, 13, FALSE), 99), VLOOKUP(C11, 'Birim Fiyat Master'!A$6:M$30, 12, FALSE), 5&gt;=IFERROR(VLOOKUP(C11, 'Birim Fiyat Master'!A$6:M$30, 11, FALSE), 99), VLOOKUP(C11, 'Birim Fiyat Master'!A$6:M$30, 10, FALSE), 5&gt;=IFERROR(VLOOKUP(C11, 'Birim Fiyat Master'!A$6:M$30, 9, FALSE), 99), VLOOKUP(C11, 'Birim Fiyat Master'!A$6:M$30, 8, FALSE), 5&gt;=IFERROR(VLOOKUP(C11, 'Birim Fiyat Master'!A$6:M$30, 7, FALSE), 99), VLOOKUP(C11, 'Birim Fiyat Master'!A$6:M$30, 6, FALSE), TRUE, VLOOKUP(C11, 'Birim Fiyat Master'!A$6:M$30, 4, FALSE))), VLOOKUP(C11, 'Birim Fiyat Master'!A$6:M$30, 4, FALSE))</f>
      </c>
      <c r="AB11" s="20">
        <f t="shared" ca="1" si="9"/>
      </c>
      <c r="AC11" s="19"/>
      <c r="AD11" s="19">
        <f t="shared" si="10"/>
      </c>
      <c r="AE11" s="20">
        <f ca="1">IFERROR(IF(C11="", "", _xludf.IFS(6&gt;=IFERROR(VLOOKUP(C11, 'Birim Fiyat Master'!A$6:M$30, 13, FALSE), 99), VLOOKUP(C11, 'Birim Fiyat Master'!A$6:M$30, 12, FALSE), 6&gt;=IFERROR(VLOOKUP(C11, 'Birim Fiyat Master'!A$6:M$30, 11, FALSE), 99), VLOOKUP(C11, 'Birim Fiyat Master'!A$6:M$30, 10, FALSE), 6&gt;=IFERROR(VLOOKUP(C11, 'Birim Fiyat Master'!A$6:M$30, 9, FALSE), 99), VLOOKUP(C11, 'Birim Fiyat Master'!A$6:M$30, 8, FALSE), 6&gt;=IFERROR(VLOOKUP(C11, 'Birim Fiyat Master'!A$6:M$30, 7, FALSE), 99), VLOOKUP(C11, 'Birim Fiyat Master'!A$6:M$30, 6, FALSE), TRUE, VLOOKUP(C11, 'Birim Fiyat Master'!A$6:M$30, 4, FALSE))), VLOOKUP(C11, 'Birim Fiyat Master'!A$6:M$30, 4, FALSE))</f>
      </c>
      <c r="AF11" s="20">
        <f t="shared" ca="1" si="11"/>
      </c>
      <c r="AG11" s="19"/>
      <c r="AH11" s="19">
        <f t="shared" si="12"/>
      </c>
      <c r="AI11" s="20">
        <f ca="1">IFERROR(IF(C11="", "", _xludf.IFS(7&gt;=IFERROR(VLOOKUP(C11, 'Birim Fiyat Master'!A$6:M$30, 13, FALSE), 99), VLOOKUP(C11, 'Birim Fiyat Master'!A$6:M$30, 12, FALSE), 7&gt;=IFERROR(VLOOKUP(C11, 'Birim Fiyat Master'!A$6:M$30, 11, FALSE), 99), VLOOKUP(C11, 'Birim Fiyat Master'!A$6:M$30, 10, FALSE), 7&gt;=IFERROR(VLOOKUP(C11, 'Birim Fiyat Master'!A$6:M$30, 9, FALSE), 99), VLOOKUP(C11, 'Birim Fiyat Master'!A$6:M$30, 8, FALSE), 7&gt;=IFERROR(VLOOKUP(C11, 'Birim Fiyat Master'!A$6:M$30, 7, FALSE), 99), VLOOKUP(C11, 'Birim Fiyat Master'!A$6:M$30, 6, FALSE), TRUE, VLOOKUP(C11, 'Birim Fiyat Master'!A$6:M$30, 4, FALSE))), VLOOKUP(C11, 'Birim Fiyat Master'!A$6:M$30, 4, FALSE))</f>
      </c>
      <c r="AJ11" s="20">
        <f t="shared" ca="1" si="13"/>
      </c>
      <c r="AK11" s="19"/>
      <c r="AL11" s="19">
        <f t="shared" si="14"/>
      </c>
      <c r="AM11" s="20">
        <f ca="1">IFERROR(IF(C11="", "", _xludf.IFS(8&gt;=IFERROR(VLOOKUP(C11, 'Birim Fiyat Master'!A$6:M$30, 13, FALSE), 99), VLOOKUP(C11, 'Birim Fiyat Master'!A$6:M$30, 12, FALSE), 8&gt;=IFERROR(VLOOKUP(C11, 'Birim Fiyat Master'!A$6:M$30, 11, FALSE), 99), VLOOKUP(C11, 'Birim Fiyat Master'!A$6:M$30, 10, FALSE), 8&gt;=IFERROR(VLOOKUP(C11, 'Birim Fiyat Master'!A$6:M$30, 9, FALSE), 99), VLOOKUP(C11, 'Birim Fiyat Master'!A$6:M$30, 8, FALSE), 8&gt;=IFERROR(VLOOKUP(C11, 'Birim Fiyat Master'!A$6:M$30, 7, FALSE), 99), VLOOKUP(C11, 'Birim Fiyat Master'!A$6:M$30, 6, FALSE), TRUE, VLOOKUP(C11, 'Birim Fiyat Master'!A$6:M$30, 4, FALSE))), VLOOKUP(C11, 'Birim Fiyat Master'!A$6:M$30, 4, FALSE))</f>
      </c>
      <c r="AN11" s="20">
        <f t="shared" ca="1" si="15"/>
      </c>
      <c r="AO11" s="19"/>
      <c r="AP11" s="19">
        <f t="shared" si="16"/>
      </c>
      <c r="AQ11" s="20">
        <f ca="1">IFERROR(IF(C11="", "", _xludf.IFS(9&gt;=IFERROR(VLOOKUP(C11, 'Birim Fiyat Master'!A$6:M$30, 13, FALSE), 99), VLOOKUP(C11, 'Birim Fiyat Master'!A$6:M$30, 12, FALSE), 9&gt;=IFERROR(VLOOKUP(C11, 'Birim Fiyat Master'!A$6:M$30, 11, FALSE), 99), VLOOKUP(C11, 'Birim Fiyat Master'!A$6:M$30, 10, FALSE), 9&gt;=IFERROR(VLOOKUP(C11, 'Birim Fiyat Master'!A$6:M$30, 9, FALSE), 99), VLOOKUP(C11, 'Birim Fiyat Master'!A$6:M$30, 8, FALSE), 9&gt;=IFERROR(VLOOKUP(C11, 'Birim Fiyat Master'!A$6:M$30, 7, FALSE), 99), VLOOKUP(C11, 'Birim Fiyat Master'!A$6:M$30, 6, FALSE), TRUE, VLOOKUP(C11, 'Birim Fiyat Master'!A$6:M$30, 4, FALSE))), VLOOKUP(C11, 'Birim Fiyat Master'!A$6:M$30, 4, FALSE))</f>
      </c>
      <c r="AR11" s="20">
        <f t="shared" ca="1" si="17"/>
      </c>
      <c r="AS11" s="19"/>
      <c r="AT11" s="19">
        <f t="shared" si="18"/>
      </c>
      <c r="AU11" s="20">
        <f ca="1">IFERROR(IF(C11="", "", _xludf.IFS(10&gt;=IFERROR(VLOOKUP(C11, 'Birim Fiyat Master'!A$6:M$30, 13, FALSE), 99), VLOOKUP(C11, 'Birim Fiyat Master'!A$6:M$30, 12, FALSE), 10&gt;=IFERROR(VLOOKUP(C11, 'Birim Fiyat Master'!A$6:M$30, 11, FALSE), 99), VLOOKUP(C11, 'Birim Fiyat Master'!A$6:M$30, 10, FALSE), 10&gt;=IFERROR(VLOOKUP(C11, 'Birim Fiyat Master'!A$6:M$30, 9, FALSE), 99), VLOOKUP(C11, 'Birim Fiyat Master'!A$6:M$30, 8, FALSE), 10&gt;=IFERROR(VLOOKUP(C11, 'Birim Fiyat Master'!A$6:M$30, 7, FALSE), 99), VLOOKUP(C11, 'Birim Fiyat Master'!A$6:M$30, 6, FALSE), TRUE, VLOOKUP(C11, 'Birim Fiyat Master'!A$6:M$30, 4, FALSE))), VLOOKUP(C11, 'Birim Fiyat Master'!A$6:M$30, 4, FALSE))</f>
      </c>
      <c r="AV11" s="20">
        <f t="shared" ca="1" si="19"/>
      </c>
      <c r="AW11" s="19"/>
      <c r="AX11" s="19">
        <f t="shared" si="20"/>
      </c>
      <c r="AY11" s="20">
        <f ca="1">IFERROR(IF(C11="", "", _xludf.IFS(11&gt;=IFERROR(VLOOKUP(C11, 'Birim Fiyat Master'!A$6:M$30, 13, FALSE), 99), VLOOKUP(C11, 'Birim Fiyat Master'!A$6:M$30, 12, FALSE), 11&gt;=IFERROR(VLOOKUP(C11, 'Birim Fiyat Master'!A$6:M$30, 11, FALSE), 99), VLOOKUP(C11, 'Birim Fiyat Master'!A$6:M$30, 10, FALSE), 11&gt;=IFERROR(VLOOKUP(C11, 'Birim Fiyat Master'!A$6:M$30, 9, FALSE), 99), VLOOKUP(C11, 'Birim Fiyat Master'!A$6:M$30, 8, FALSE), 11&gt;=IFERROR(VLOOKUP(C11, 'Birim Fiyat Master'!A$6:M$30, 7, FALSE), 99), VLOOKUP(C11, 'Birim Fiyat Master'!A$6:M$30, 6, FALSE), TRUE, VLOOKUP(C11, 'Birim Fiyat Master'!A$6:M$30, 4, FALSE))), VLOOKUP(C11, 'Birim Fiyat Master'!A$6:M$30, 4, FALSE))</f>
      </c>
      <c r="AZ11" s="20">
        <f t="shared" ca="1" si="21"/>
      </c>
      <c r="BA11" s="19"/>
      <c r="BB11" s="19">
        <f t="shared" si="22"/>
      </c>
      <c r="BC11" s="20">
        <f ca="1">IFERROR(IF(C11="", "", _xludf.IFS(12&gt;=IFERROR(VLOOKUP(C11, 'Birim Fiyat Master'!A$6:M$30, 13, FALSE), 99), VLOOKUP(C11, 'Birim Fiyat Master'!A$6:M$30, 12, FALSE), 12&gt;=IFERROR(VLOOKUP(C11, 'Birim Fiyat Master'!A$6:M$30, 11, FALSE), 99), VLOOKUP(C11, 'Birim Fiyat Master'!A$6:M$30, 10, FALSE), 12&gt;=IFERROR(VLOOKUP(C11, 'Birim Fiyat Master'!A$6:M$30, 9, FALSE), 99), VLOOKUP(C11, 'Birim Fiyat Master'!A$6:M$30, 8, FALSE), 12&gt;=IFERROR(VLOOKUP(C11, 'Birim Fiyat Master'!A$6:M$30, 7, FALSE), 99), VLOOKUP(C11, 'Birim Fiyat Master'!A$6:M$30, 6, FALSE), TRUE, VLOOKUP(C11, 'Birim Fiyat Master'!A$6:M$30, 4, FALSE))), VLOOKUP(C11, 'Birim Fiyat Master'!A$6:M$30, 4, FALSE))</f>
      </c>
      <c r="BD11" s="20">
        <f t="shared" ca="1" si="23"/>
      </c>
      <c r="BE11" s="19"/>
      <c r="BF11" s="19">
        <f t="shared" si="24"/>
      </c>
      <c r="BG11" s="20">
        <f ca="1">IFERROR(IF(C11="", "", _xludf.IFS(13&gt;=IFERROR(VLOOKUP(C11, 'Birim Fiyat Master'!A$6:M$30, 13, FALSE), 99), VLOOKUP(C11, 'Birim Fiyat Master'!A$6:M$30, 12, FALSE), 13&gt;=IFERROR(VLOOKUP(C11, 'Birim Fiyat Master'!A$6:M$30, 11, FALSE), 99), VLOOKUP(C11, 'Birim Fiyat Master'!A$6:M$30, 10, FALSE), 13&gt;=IFERROR(VLOOKUP(C11, 'Birim Fiyat Master'!A$6:M$30, 9, FALSE), 99), VLOOKUP(C11, 'Birim Fiyat Master'!A$6:M$30, 8, FALSE), 13&gt;=IFERROR(VLOOKUP(C11, 'Birim Fiyat Master'!A$6:M$30, 7, FALSE), 99), VLOOKUP(C11, 'Birim Fiyat Master'!A$6:M$30, 6, FALSE), TRUE, VLOOKUP(C11, 'Birim Fiyat Master'!A$6:M$30, 4, FALSE))), VLOOKUP(C11, 'Birim Fiyat Master'!A$6:M$30, 4, FALSE))</f>
      </c>
      <c r="BH11" s="20">
        <f t="shared" ca="1" si="25"/>
      </c>
      <c r="BI11" s="19"/>
      <c r="BJ11" s="19">
        <f t="shared" si="26"/>
      </c>
      <c r="BK11" s="20">
        <f ca="1">IFERROR(IF(C11="", "", _xludf.IFS(14&gt;=IFERROR(VLOOKUP(C11, 'Birim Fiyat Master'!A$6:M$30, 13, FALSE), 99), VLOOKUP(C11, 'Birim Fiyat Master'!A$6:M$30, 12, FALSE), 14&gt;=IFERROR(VLOOKUP(C11, 'Birim Fiyat Master'!A$6:M$30, 11, FALSE), 99), VLOOKUP(C11, 'Birim Fiyat Master'!A$6:M$30, 10, FALSE), 14&gt;=IFERROR(VLOOKUP(C11, 'Birim Fiyat Master'!A$6:M$30, 9, FALSE), 99), VLOOKUP(C11, 'Birim Fiyat Master'!A$6:M$30, 8, FALSE), 14&gt;=IFERROR(VLOOKUP(C11, 'Birim Fiyat Master'!A$6:M$30, 7, FALSE), 99), VLOOKUP(C11, 'Birim Fiyat Master'!A$6:M$30, 6, FALSE), TRUE, VLOOKUP(C11, 'Birim Fiyat Master'!A$6:M$30, 4, FALSE))), VLOOKUP(C11, 'Birim Fiyat Master'!A$6:M$30, 4, FALSE))</f>
      </c>
      <c r="BL11" s="20">
        <f t="shared" ca="1" si="27"/>
      </c>
      <c r="BM11" s="19"/>
      <c r="BN11" s="19">
        <f t="shared" si="28"/>
      </c>
      <c r="BO11" s="20">
        <f ca="1">IFERROR(IF(C11="", "", _xludf.IFS(15&gt;=IFERROR(VLOOKUP(C11, 'Birim Fiyat Master'!A$6:M$30, 13, FALSE), 99), VLOOKUP(C11, 'Birim Fiyat Master'!A$6:M$30, 12, FALSE), 15&gt;=IFERROR(VLOOKUP(C11, 'Birim Fiyat Master'!A$6:M$30, 11, FALSE), 99), VLOOKUP(C11, 'Birim Fiyat Master'!A$6:M$30, 10, FALSE), 15&gt;=IFERROR(VLOOKUP(C11, 'Birim Fiyat Master'!A$6:M$30, 9, FALSE), 99), VLOOKUP(C11, 'Birim Fiyat Master'!A$6:M$30, 8, FALSE), 15&gt;=IFERROR(VLOOKUP(C11, 'Birim Fiyat Master'!A$6:M$30, 7, FALSE), 99), VLOOKUP(C11, 'Birim Fiyat Master'!A$6:M$30, 6, FALSE), TRUE, VLOOKUP(C11, 'Birim Fiyat Master'!A$6:M$30, 4, FALSE))), VLOOKUP(C11, 'Birim Fiyat Master'!A$6:M$30, 4, FALSE))</f>
      </c>
      <c r="BP11" s="20">
        <f t="shared" ca="1" si="29"/>
      </c>
      <c r="BQ11" s="3"/>
    </row>
    <row r="12" spans="1:69" ht="22.05" customHeight="1" x14ac:dyDescent="0.3">
      <c r="A12" s="17"/>
      <c r="B12" s="18"/>
      <c r="C12" s="2"/>
      <c r="D12" s="18" t="str">
        <f>IFERROR(VLOOKUP(C12, 'Birim Fiyat Master'!A$6:M$30, 2, FALSE), "")</f>
      </c>
      <c r="E12" s="18" t="str">
        <f>IFERROR(VLOOKUP(C12, 'Birim Fiyat Master'!A$6:M$30, 3, FALSE), "")</f>
      </c>
      <c r="F12" s="19"/>
      <c r="G12" s="19">
        <f t="shared" si="0"/>
      </c>
      <c r="H12" s="19"/>
      <c r="I12" s="19"/>
      <c r="J12" s="19">
        <f t="shared" si="30"/>
      </c>
      <c r="K12" s="20">
        <f ca="1">IFERROR(IF(C12="", "", _xludf.IFS(1&gt;=IFERROR(VLOOKUP(C12, 'Birim Fiyat Master'!A$6:M$30, 13, FALSE), 99), VLOOKUP(C12, 'Birim Fiyat Master'!A$6:M$30, 12, FALSE), 1&gt;=IFERROR(VLOOKUP(C12, 'Birim Fiyat Master'!A$6:M$30, 11, FALSE), 99), VLOOKUP(C12, 'Birim Fiyat Master'!A$6:M$30, 10, FALSE), 1&gt;=IFERROR(VLOOKUP(C12, 'Birim Fiyat Master'!A$6:M$30, 9, FALSE), 99), VLOOKUP(C12, 'Birim Fiyat Master'!A$6:M$30, 8, FALSE), 1&gt;=IFERROR(VLOOKUP(C12, 'Birim Fiyat Master'!A$6:M$30, 7, FALSE), 99), VLOOKUP(C12, 'Birim Fiyat Master'!A$6:M$30, 6, FALSE), TRUE, VLOOKUP(C12, 'Birim Fiyat Master'!A$6:M$30, 4, FALSE))), VLOOKUP(C12, 'Birim Fiyat Master'!A$6:M$30, 4, FALSE))</f>
      </c>
      <c r="L12" s="20">
        <f t="shared" ca="1" si="1"/>
      </c>
      <c r="M12" s="19"/>
      <c r="N12" s="19">
        <f t="shared" si="2"/>
      </c>
      <c r="O12" s="20">
        <f ca="1">IFERROR(IF(C12="", "", _xludf.IFS(2&gt;=IFERROR(VLOOKUP(C12, 'Birim Fiyat Master'!A$6:M$30, 13, FALSE), 99), VLOOKUP(C12, 'Birim Fiyat Master'!A$6:M$30, 12, FALSE), 2&gt;=IFERROR(VLOOKUP(C12, 'Birim Fiyat Master'!A$6:M$30, 11, FALSE), 99), VLOOKUP(C12, 'Birim Fiyat Master'!A$6:M$30, 10, FALSE), 2&gt;=IFERROR(VLOOKUP(C12, 'Birim Fiyat Master'!A$6:M$30, 9, FALSE), 99), VLOOKUP(C12, 'Birim Fiyat Master'!A$6:M$30, 8, FALSE), 2&gt;=IFERROR(VLOOKUP(C12, 'Birim Fiyat Master'!A$6:M$30, 7, FALSE), 99), VLOOKUP(C12, 'Birim Fiyat Master'!A$6:M$30, 6, FALSE), TRUE, VLOOKUP(C12, 'Birim Fiyat Master'!A$6:M$30, 4, FALSE))), VLOOKUP(C12, 'Birim Fiyat Master'!A$6:M$30, 4, FALSE))</f>
      </c>
      <c r="P12" s="20">
        <f t="shared" ca="1" si="3"/>
      </c>
      <c r="Q12" s="19"/>
      <c r="R12" s="19">
        <f t="shared" si="4"/>
      </c>
      <c r="S12" s="20">
        <f ca="1">IFERROR(IF(C12="", "", _xludf.IFS(3&gt;=IFERROR(VLOOKUP(C12, 'Birim Fiyat Master'!A$6:M$30, 13, FALSE), 99), VLOOKUP(C12, 'Birim Fiyat Master'!A$6:M$30, 12, FALSE), 3&gt;=IFERROR(VLOOKUP(C12, 'Birim Fiyat Master'!A$6:M$30, 11, FALSE), 99), VLOOKUP(C12, 'Birim Fiyat Master'!A$6:M$30, 10, FALSE), 3&gt;=IFERROR(VLOOKUP(C12, 'Birim Fiyat Master'!A$6:M$30, 9, FALSE), 99), VLOOKUP(C12, 'Birim Fiyat Master'!A$6:M$30, 8, FALSE), 3&gt;=IFERROR(VLOOKUP(C12, 'Birim Fiyat Master'!A$6:M$30, 7, FALSE), 99), VLOOKUP(C12, 'Birim Fiyat Master'!A$6:M$30, 6, FALSE), TRUE, VLOOKUP(C12, 'Birim Fiyat Master'!A$6:M$30, 4, FALSE))), VLOOKUP(C12, 'Birim Fiyat Master'!A$6:M$30, 4, FALSE))</f>
      </c>
      <c r="T12" s="20">
        <f t="shared" ca="1" si="5"/>
      </c>
      <c r="U12" s="19"/>
      <c r="V12" s="19">
        <f t="shared" si="6"/>
      </c>
      <c r="W12" s="20">
        <f ca="1">IFERROR(IF(C12="", "", _xludf.IFS(4&gt;=IFERROR(VLOOKUP(C12, 'Birim Fiyat Master'!A$6:M$30, 13, FALSE), 99), VLOOKUP(C12, 'Birim Fiyat Master'!A$6:M$30, 12, FALSE), 4&gt;=IFERROR(VLOOKUP(C12, 'Birim Fiyat Master'!A$6:M$30, 11, FALSE), 99), VLOOKUP(C12, 'Birim Fiyat Master'!A$6:M$30, 10, FALSE), 4&gt;=IFERROR(VLOOKUP(C12, 'Birim Fiyat Master'!A$6:M$30, 9, FALSE), 99), VLOOKUP(C12, 'Birim Fiyat Master'!A$6:M$30, 8, FALSE), 4&gt;=IFERROR(VLOOKUP(C12, 'Birim Fiyat Master'!A$6:M$30, 7, FALSE), 99), VLOOKUP(C12, 'Birim Fiyat Master'!A$6:M$30, 6, FALSE), TRUE, VLOOKUP(C12, 'Birim Fiyat Master'!A$6:M$30, 4, FALSE))), VLOOKUP(C12, 'Birim Fiyat Master'!A$6:M$30, 4, FALSE))</f>
      </c>
      <c r="X12" s="20">
        <f t="shared" ca="1" si="7"/>
      </c>
      <c r="Y12" s="19"/>
      <c r="Z12" s="19">
        <f t="shared" si="8"/>
      </c>
      <c r="AA12" s="20">
        <f ca="1">IFERROR(IF(C12="", "", _xludf.IFS(5&gt;=IFERROR(VLOOKUP(C12, 'Birim Fiyat Master'!A$6:M$30, 13, FALSE), 99), VLOOKUP(C12, 'Birim Fiyat Master'!A$6:M$30, 12, FALSE), 5&gt;=IFERROR(VLOOKUP(C12, 'Birim Fiyat Master'!A$6:M$30, 11, FALSE), 99), VLOOKUP(C12, 'Birim Fiyat Master'!A$6:M$30, 10, FALSE), 5&gt;=IFERROR(VLOOKUP(C12, 'Birim Fiyat Master'!A$6:M$30, 9, FALSE), 99), VLOOKUP(C12, 'Birim Fiyat Master'!A$6:M$30, 8, FALSE), 5&gt;=IFERROR(VLOOKUP(C12, 'Birim Fiyat Master'!A$6:M$30, 7, FALSE), 99), VLOOKUP(C12, 'Birim Fiyat Master'!A$6:M$30, 6, FALSE), TRUE, VLOOKUP(C12, 'Birim Fiyat Master'!A$6:M$30, 4, FALSE))), VLOOKUP(C12, 'Birim Fiyat Master'!A$6:M$30, 4, FALSE))</f>
      </c>
      <c r="AB12" s="20">
        <f t="shared" ca="1" si="9"/>
      </c>
      <c r="AC12" s="19"/>
      <c r="AD12" s="19">
        <f t="shared" si="10"/>
      </c>
      <c r="AE12" s="20">
        <f ca="1">IFERROR(IF(C12="", "", _xludf.IFS(6&gt;=IFERROR(VLOOKUP(C12, 'Birim Fiyat Master'!A$6:M$30, 13, FALSE), 99), VLOOKUP(C12, 'Birim Fiyat Master'!A$6:M$30, 12, FALSE), 6&gt;=IFERROR(VLOOKUP(C12, 'Birim Fiyat Master'!A$6:M$30, 11, FALSE), 99), VLOOKUP(C12, 'Birim Fiyat Master'!A$6:M$30, 10, FALSE), 6&gt;=IFERROR(VLOOKUP(C12, 'Birim Fiyat Master'!A$6:M$30, 9, FALSE), 99), VLOOKUP(C12, 'Birim Fiyat Master'!A$6:M$30, 8, FALSE), 6&gt;=IFERROR(VLOOKUP(C12, 'Birim Fiyat Master'!A$6:M$30, 7, FALSE), 99), VLOOKUP(C12, 'Birim Fiyat Master'!A$6:M$30, 6, FALSE), TRUE, VLOOKUP(C12, 'Birim Fiyat Master'!A$6:M$30, 4, FALSE))), VLOOKUP(C12, 'Birim Fiyat Master'!A$6:M$30, 4, FALSE))</f>
      </c>
      <c r="AF12" s="20">
        <f t="shared" ca="1" si="11"/>
      </c>
      <c r="AG12" s="19"/>
      <c r="AH12" s="19">
        <f t="shared" si="12"/>
      </c>
      <c r="AI12" s="20">
        <f ca="1">IFERROR(IF(C12="", "", _xludf.IFS(7&gt;=IFERROR(VLOOKUP(C12, 'Birim Fiyat Master'!A$6:M$30, 13, FALSE), 99), VLOOKUP(C12, 'Birim Fiyat Master'!A$6:M$30, 12, FALSE), 7&gt;=IFERROR(VLOOKUP(C12, 'Birim Fiyat Master'!A$6:M$30, 11, FALSE), 99), VLOOKUP(C12, 'Birim Fiyat Master'!A$6:M$30, 10, FALSE), 7&gt;=IFERROR(VLOOKUP(C12, 'Birim Fiyat Master'!A$6:M$30, 9, FALSE), 99), VLOOKUP(C12, 'Birim Fiyat Master'!A$6:M$30, 8, FALSE), 7&gt;=IFERROR(VLOOKUP(C12, 'Birim Fiyat Master'!A$6:M$30, 7, FALSE), 99), VLOOKUP(C12, 'Birim Fiyat Master'!A$6:M$30, 6, FALSE), TRUE, VLOOKUP(C12, 'Birim Fiyat Master'!A$6:M$30, 4, FALSE))), VLOOKUP(C12, 'Birim Fiyat Master'!A$6:M$30, 4, FALSE))</f>
      </c>
      <c r="AJ12" s="20">
        <f t="shared" ca="1" si="13"/>
      </c>
      <c r="AK12" s="19"/>
      <c r="AL12" s="19">
        <f t="shared" si="14"/>
      </c>
      <c r="AM12" s="20">
        <f ca="1">IFERROR(IF(C12="", "", _xludf.IFS(8&gt;=IFERROR(VLOOKUP(C12, 'Birim Fiyat Master'!A$6:M$30, 13, FALSE), 99), VLOOKUP(C12, 'Birim Fiyat Master'!A$6:M$30, 12, FALSE), 8&gt;=IFERROR(VLOOKUP(C12, 'Birim Fiyat Master'!A$6:M$30, 11, FALSE), 99), VLOOKUP(C12, 'Birim Fiyat Master'!A$6:M$30, 10, FALSE), 8&gt;=IFERROR(VLOOKUP(C12, 'Birim Fiyat Master'!A$6:M$30, 9, FALSE), 99), VLOOKUP(C12, 'Birim Fiyat Master'!A$6:M$30, 8, FALSE), 8&gt;=IFERROR(VLOOKUP(C12, 'Birim Fiyat Master'!A$6:M$30, 7, FALSE), 99), VLOOKUP(C12, 'Birim Fiyat Master'!A$6:M$30, 6, FALSE), TRUE, VLOOKUP(C12, 'Birim Fiyat Master'!A$6:M$30, 4, FALSE))), VLOOKUP(C12, 'Birim Fiyat Master'!A$6:M$30, 4, FALSE))</f>
      </c>
      <c r="AN12" s="20">
        <f t="shared" ca="1" si="15"/>
      </c>
      <c r="AO12" s="19"/>
      <c r="AP12" s="19">
        <f t="shared" si="16"/>
      </c>
      <c r="AQ12" s="20">
        <f ca="1">IFERROR(IF(C12="", "", _xludf.IFS(9&gt;=IFERROR(VLOOKUP(C12, 'Birim Fiyat Master'!A$6:M$30, 13, FALSE), 99), VLOOKUP(C12, 'Birim Fiyat Master'!A$6:M$30, 12, FALSE), 9&gt;=IFERROR(VLOOKUP(C12, 'Birim Fiyat Master'!A$6:M$30, 11, FALSE), 99), VLOOKUP(C12, 'Birim Fiyat Master'!A$6:M$30, 10, FALSE), 9&gt;=IFERROR(VLOOKUP(C12, 'Birim Fiyat Master'!A$6:M$30, 9, FALSE), 99), VLOOKUP(C12, 'Birim Fiyat Master'!A$6:M$30, 8, FALSE), 9&gt;=IFERROR(VLOOKUP(C12, 'Birim Fiyat Master'!A$6:M$30, 7, FALSE), 99), VLOOKUP(C12, 'Birim Fiyat Master'!A$6:M$30, 6, FALSE), TRUE, VLOOKUP(C12, 'Birim Fiyat Master'!A$6:M$30, 4, FALSE))), VLOOKUP(C12, 'Birim Fiyat Master'!A$6:M$30, 4, FALSE))</f>
      </c>
      <c r="AR12" s="20">
        <f t="shared" ca="1" si="17"/>
      </c>
      <c r="AS12" s="19"/>
      <c r="AT12" s="19">
        <f t="shared" si="18"/>
      </c>
      <c r="AU12" s="20">
        <f ca="1">IFERROR(IF(C12="", "", _xludf.IFS(10&gt;=IFERROR(VLOOKUP(C12, 'Birim Fiyat Master'!A$6:M$30, 13, FALSE), 99), VLOOKUP(C12, 'Birim Fiyat Master'!A$6:M$30, 12, FALSE), 10&gt;=IFERROR(VLOOKUP(C12, 'Birim Fiyat Master'!A$6:M$30, 11, FALSE), 99), VLOOKUP(C12, 'Birim Fiyat Master'!A$6:M$30, 10, FALSE), 10&gt;=IFERROR(VLOOKUP(C12, 'Birim Fiyat Master'!A$6:M$30, 9, FALSE), 99), VLOOKUP(C12, 'Birim Fiyat Master'!A$6:M$30, 8, FALSE), 10&gt;=IFERROR(VLOOKUP(C12, 'Birim Fiyat Master'!A$6:M$30, 7, FALSE), 99), VLOOKUP(C12, 'Birim Fiyat Master'!A$6:M$30, 6, FALSE), TRUE, VLOOKUP(C12, 'Birim Fiyat Master'!A$6:M$30, 4, FALSE))), VLOOKUP(C12, 'Birim Fiyat Master'!A$6:M$30, 4, FALSE))</f>
      </c>
      <c r="AV12" s="20">
        <f t="shared" ca="1" si="19"/>
      </c>
      <c r="AW12" s="19"/>
      <c r="AX12" s="19">
        <f t="shared" si="20"/>
      </c>
      <c r="AY12" s="20">
        <f ca="1">IFERROR(IF(C12="", "", _xludf.IFS(11&gt;=IFERROR(VLOOKUP(C12, 'Birim Fiyat Master'!A$6:M$30, 13, FALSE), 99), VLOOKUP(C12, 'Birim Fiyat Master'!A$6:M$30, 12, FALSE), 11&gt;=IFERROR(VLOOKUP(C12, 'Birim Fiyat Master'!A$6:M$30, 11, FALSE), 99), VLOOKUP(C12, 'Birim Fiyat Master'!A$6:M$30, 10, FALSE), 11&gt;=IFERROR(VLOOKUP(C12, 'Birim Fiyat Master'!A$6:M$30, 9, FALSE), 99), VLOOKUP(C12, 'Birim Fiyat Master'!A$6:M$30, 8, FALSE), 11&gt;=IFERROR(VLOOKUP(C12, 'Birim Fiyat Master'!A$6:M$30, 7, FALSE), 99), VLOOKUP(C12, 'Birim Fiyat Master'!A$6:M$30, 6, FALSE), TRUE, VLOOKUP(C12, 'Birim Fiyat Master'!A$6:M$30, 4, FALSE))), VLOOKUP(C12, 'Birim Fiyat Master'!A$6:M$30, 4, FALSE))</f>
      </c>
      <c r="AZ12" s="20">
        <f t="shared" ca="1" si="21"/>
      </c>
      <c r="BA12" s="19"/>
      <c r="BB12" s="19">
        <f t="shared" si="22"/>
      </c>
      <c r="BC12" s="20">
        <f ca="1">IFERROR(IF(C12="", "", _xludf.IFS(12&gt;=IFERROR(VLOOKUP(C12, 'Birim Fiyat Master'!A$6:M$30, 13, FALSE), 99), VLOOKUP(C12, 'Birim Fiyat Master'!A$6:M$30, 12, FALSE), 12&gt;=IFERROR(VLOOKUP(C12, 'Birim Fiyat Master'!A$6:M$30, 11, FALSE), 99), VLOOKUP(C12, 'Birim Fiyat Master'!A$6:M$30, 10, FALSE), 12&gt;=IFERROR(VLOOKUP(C12, 'Birim Fiyat Master'!A$6:M$30, 9, FALSE), 99), VLOOKUP(C12, 'Birim Fiyat Master'!A$6:M$30, 8, FALSE), 12&gt;=IFERROR(VLOOKUP(C12, 'Birim Fiyat Master'!A$6:M$30, 7, FALSE), 99), VLOOKUP(C12, 'Birim Fiyat Master'!A$6:M$30, 6, FALSE), TRUE, VLOOKUP(C12, 'Birim Fiyat Master'!A$6:M$30, 4, FALSE))), VLOOKUP(C12, 'Birim Fiyat Master'!A$6:M$30, 4, FALSE))</f>
      </c>
      <c r="BD12" s="20">
        <f t="shared" ca="1" si="23"/>
      </c>
      <c r="BE12" s="19"/>
      <c r="BF12" s="19">
        <f t="shared" si="24"/>
      </c>
      <c r="BG12" s="20">
        <f ca="1">IFERROR(IF(C12="", "", _xludf.IFS(13&gt;=IFERROR(VLOOKUP(C12, 'Birim Fiyat Master'!A$6:M$30, 13, FALSE), 99), VLOOKUP(C12, 'Birim Fiyat Master'!A$6:M$30, 12, FALSE), 13&gt;=IFERROR(VLOOKUP(C12, 'Birim Fiyat Master'!A$6:M$30, 11, FALSE), 99), VLOOKUP(C12, 'Birim Fiyat Master'!A$6:M$30, 10, FALSE), 13&gt;=IFERROR(VLOOKUP(C12, 'Birim Fiyat Master'!A$6:M$30, 9, FALSE), 99), VLOOKUP(C12, 'Birim Fiyat Master'!A$6:M$30, 8, FALSE), 13&gt;=IFERROR(VLOOKUP(C12, 'Birim Fiyat Master'!A$6:M$30, 7, FALSE), 99), VLOOKUP(C12, 'Birim Fiyat Master'!A$6:M$30, 6, FALSE), TRUE, VLOOKUP(C12, 'Birim Fiyat Master'!A$6:M$30, 4, FALSE))), VLOOKUP(C12, 'Birim Fiyat Master'!A$6:M$30, 4, FALSE))</f>
      </c>
      <c r="BH12" s="20">
        <f t="shared" ca="1" si="25"/>
      </c>
      <c r="BI12" s="19"/>
      <c r="BJ12" s="19">
        <f t="shared" si="26"/>
      </c>
      <c r="BK12" s="20">
        <f ca="1">IFERROR(IF(C12="", "", _xludf.IFS(14&gt;=IFERROR(VLOOKUP(C12, 'Birim Fiyat Master'!A$6:M$30, 13, FALSE), 99), VLOOKUP(C12, 'Birim Fiyat Master'!A$6:M$30, 12, FALSE), 14&gt;=IFERROR(VLOOKUP(C12, 'Birim Fiyat Master'!A$6:M$30, 11, FALSE), 99), VLOOKUP(C12, 'Birim Fiyat Master'!A$6:M$30, 10, FALSE), 14&gt;=IFERROR(VLOOKUP(C12, 'Birim Fiyat Master'!A$6:M$30, 9, FALSE), 99), VLOOKUP(C12, 'Birim Fiyat Master'!A$6:M$30, 8, FALSE), 14&gt;=IFERROR(VLOOKUP(C12, 'Birim Fiyat Master'!A$6:M$30, 7, FALSE), 99), VLOOKUP(C12, 'Birim Fiyat Master'!A$6:M$30, 6, FALSE), TRUE, VLOOKUP(C12, 'Birim Fiyat Master'!A$6:M$30, 4, FALSE))), VLOOKUP(C12, 'Birim Fiyat Master'!A$6:M$30, 4, FALSE))</f>
      </c>
      <c r="BL12" s="20">
        <f t="shared" ca="1" si="27"/>
      </c>
      <c r="BM12" s="19"/>
      <c r="BN12" s="19">
        <f t="shared" si="28"/>
      </c>
      <c r="BO12" s="20">
        <f ca="1">IFERROR(IF(C12="", "", _xludf.IFS(15&gt;=IFERROR(VLOOKUP(C12, 'Birim Fiyat Master'!A$6:M$30, 13, FALSE), 99), VLOOKUP(C12, 'Birim Fiyat Master'!A$6:M$30, 12, FALSE), 15&gt;=IFERROR(VLOOKUP(C12, 'Birim Fiyat Master'!A$6:M$30, 11, FALSE), 99), VLOOKUP(C12, 'Birim Fiyat Master'!A$6:M$30, 10, FALSE), 15&gt;=IFERROR(VLOOKUP(C12, 'Birim Fiyat Master'!A$6:M$30, 9, FALSE), 99), VLOOKUP(C12, 'Birim Fiyat Master'!A$6:M$30, 8, FALSE), 15&gt;=IFERROR(VLOOKUP(C12, 'Birim Fiyat Master'!A$6:M$30, 7, FALSE), 99), VLOOKUP(C12, 'Birim Fiyat Master'!A$6:M$30, 6, FALSE), TRUE, VLOOKUP(C12, 'Birim Fiyat Master'!A$6:M$30, 4, FALSE))), VLOOKUP(C12, 'Birim Fiyat Master'!A$6:M$30, 4, FALSE))</f>
      </c>
      <c r="BP12" s="20">
        <f t="shared" ca="1" si="29"/>
      </c>
      <c r="BQ12" s="3"/>
    </row>
    <row r="13" spans="1:69" ht="22.05" customHeight="1" x14ac:dyDescent="0.3">
      <c r="A13" s="17"/>
      <c r="B13" s="18"/>
      <c r="C13" s="2"/>
      <c r="D13" s="18" t="str">
        <f>IFERROR(VLOOKUP(C13, 'Birim Fiyat Master'!A$6:M$30, 2, FALSE), "")</f>
      </c>
      <c r="E13" s="18" t="str">
        <f>IFERROR(VLOOKUP(C13, 'Birim Fiyat Master'!A$6:M$30, 3, FALSE), "")</f>
      </c>
      <c r="F13" s="19"/>
      <c r="G13" s="19">
        <f t="shared" si="0"/>
      </c>
      <c r="H13" s="19"/>
      <c r="I13" s="19"/>
      <c r="J13" s="19">
        <f t="shared" si="30"/>
      </c>
      <c r="K13" s="20">
        <f ca="1">IFERROR(IF(C13="", "", _xludf.IFS(1&gt;=IFERROR(VLOOKUP(C13, 'Birim Fiyat Master'!A$6:M$30, 13, FALSE), 99), VLOOKUP(C13, 'Birim Fiyat Master'!A$6:M$30, 12, FALSE), 1&gt;=IFERROR(VLOOKUP(C13, 'Birim Fiyat Master'!A$6:M$30, 11, FALSE), 99), VLOOKUP(C13, 'Birim Fiyat Master'!A$6:M$30, 10, FALSE), 1&gt;=IFERROR(VLOOKUP(C13, 'Birim Fiyat Master'!A$6:M$30, 9, FALSE), 99), VLOOKUP(C13, 'Birim Fiyat Master'!A$6:M$30, 8, FALSE), 1&gt;=IFERROR(VLOOKUP(C13, 'Birim Fiyat Master'!A$6:M$30, 7, FALSE), 99), VLOOKUP(C13, 'Birim Fiyat Master'!A$6:M$30, 6, FALSE), TRUE, VLOOKUP(C13, 'Birim Fiyat Master'!A$6:M$30, 4, FALSE))), VLOOKUP(C13, 'Birim Fiyat Master'!A$6:M$30, 4, FALSE))</f>
      </c>
      <c r="L13" s="20">
        <f t="shared" ca="1" si="1"/>
      </c>
      <c r="M13" s="19"/>
      <c r="N13" s="19">
        <f t="shared" si="2"/>
      </c>
      <c r="O13" s="20">
        <f ca="1">IFERROR(IF(C13="", "", _xludf.IFS(2&gt;=IFERROR(VLOOKUP(C13, 'Birim Fiyat Master'!A$6:M$30, 13, FALSE), 99), VLOOKUP(C13, 'Birim Fiyat Master'!A$6:M$30, 12, FALSE), 2&gt;=IFERROR(VLOOKUP(C13, 'Birim Fiyat Master'!A$6:M$30, 11, FALSE), 99), VLOOKUP(C13, 'Birim Fiyat Master'!A$6:M$30, 10, FALSE), 2&gt;=IFERROR(VLOOKUP(C13, 'Birim Fiyat Master'!A$6:M$30, 9, FALSE), 99), VLOOKUP(C13, 'Birim Fiyat Master'!A$6:M$30, 8, FALSE), 2&gt;=IFERROR(VLOOKUP(C13, 'Birim Fiyat Master'!A$6:M$30, 7, FALSE), 99), VLOOKUP(C13, 'Birim Fiyat Master'!A$6:M$30, 6, FALSE), TRUE, VLOOKUP(C13, 'Birim Fiyat Master'!A$6:M$30, 4, FALSE))), VLOOKUP(C13, 'Birim Fiyat Master'!A$6:M$30, 4, FALSE))</f>
      </c>
      <c r="P13" s="20">
        <f t="shared" ca="1" si="3"/>
      </c>
      <c r="Q13" s="19"/>
      <c r="R13" s="19">
        <f t="shared" si="4"/>
      </c>
      <c r="S13" s="20">
        <f ca="1">IFERROR(IF(C13="", "", _xludf.IFS(3&gt;=IFERROR(VLOOKUP(C13, 'Birim Fiyat Master'!A$6:M$30, 13, FALSE), 99), VLOOKUP(C13, 'Birim Fiyat Master'!A$6:M$30, 12, FALSE), 3&gt;=IFERROR(VLOOKUP(C13, 'Birim Fiyat Master'!A$6:M$30, 11, FALSE), 99), VLOOKUP(C13, 'Birim Fiyat Master'!A$6:M$30, 10, FALSE), 3&gt;=IFERROR(VLOOKUP(C13, 'Birim Fiyat Master'!A$6:M$30, 9, FALSE), 99), VLOOKUP(C13, 'Birim Fiyat Master'!A$6:M$30, 8, FALSE), 3&gt;=IFERROR(VLOOKUP(C13, 'Birim Fiyat Master'!A$6:M$30, 7, FALSE), 99), VLOOKUP(C13, 'Birim Fiyat Master'!A$6:M$30, 6, FALSE), TRUE, VLOOKUP(C13, 'Birim Fiyat Master'!A$6:M$30, 4, FALSE))), VLOOKUP(C13, 'Birim Fiyat Master'!A$6:M$30, 4, FALSE))</f>
      </c>
      <c r="T13" s="20">
        <f t="shared" ca="1" si="5"/>
      </c>
      <c r="U13" s="19"/>
      <c r="V13" s="19">
        <f t="shared" si="6"/>
      </c>
      <c r="W13" s="20">
        <f ca="1">IFERROR(IF(C13="", "", _xludf.IFS(4&gt;=IFERROR(VLOOKUP(C13, 'Birim Fiyat Master'!A$6:M$30, 13, FALSE), 99), VLOOKUP(C13, 'Birim Fiyat Master'!A$6:M$30, 12, FALSE), 4&gt;=IFERROR(VLOOKUP(C13, 'Birim Fiyat Master'!A$6:M$30, 11, FALSE), 99), VLOOKUP(C13, 'Birim Fiyat Master'!A$6:M$30, 10, FALSE), 4&gt;=IFERROR(VLOOKUP(C13, 'Birim Fiyat Master'!A$6:M$30, 9, FALSE), 99), VLOOKUP(C13, 'Birim Fiyat Master'!A$6:M$30, 8, FALSE), 4&gt;=IFERROR(VLOOKUP(C13, 'Birim Fiyat Master'!A$6:M$30, 7, FALSE), 99), VLOOKUP(C13, 'Birim Fiyat Master'!A$6:M$30, 6, FALSE), TRUE, VLOOKUP(C13, 'Birim Fiyat Master'!A$6:M$30, 4, FALSE))), VLOOKUP(C13, 'Birim Fiyat Master'!A$6:M$30, 4, FALSE))</f>
      </c>
      <c r="X13" s="20">
        <f t="shared" ca="1" si="7"/>
      </c>
      <c r="Y13" s="19"/>
      <c r="Z13" s="19">
        <f t="shared" si="8"/>
      </c>
      <c r="AA13" s="20">
        <f ca="1">IFERROR(IF(C13="", "", _xludf.IFS(5&gt;=IFERROR(VLOOKUP(C13, 'Birim Fiyat Master'!A$6:M$30, 13, FALSE), 99), VLOOKUP(C13, 'Birim Fiyat Master'!A$6:M$30, 12, FALSE), 5&gt;=IFERROR(VLOOKUP(C13, 'Birim Fiyat Master'!A$6:M$30, 11, FALSE), 99), VLOOKUP(C13, 'Birim Fiyat Master'!A$6:M$30, 10, FALSE), 5&gt;=IFERROR(VLOOKUP(C13, 'Birim Fiyat Master'!A$6:M$30, 9, FALSE), 99), VLOOKUP(C13, 'Birim Fiyat Master'!A$6:M$30, 8, FALSE), 5&gt;=IFERROR(VLOOKUP(C13, 'Birim Fiyat Master'!A$6:M$30, 7, FALSE), 99), VLOOKUP(C13, 'Birim Fiyat Master'!A$6:M$30, 6, FALSE), TRUE, VLOOKUP(C13, 'Birim Fiyat Master'!A$6:M$30, 4, FALSE))), VLOOKUP(C13, 'Birim Fiyat Master'!A$6:M$30, 4, FALSE))</f>
      </c>
      <c r="AB13" s="20">
        <f t="shared" ca="1" si="9"/>
      </c>
      <c r="AC13" s="19"/>
      <c r="AD13" s="19">
        <f t="shared" si="10"/>
      </c>
      <c r="AE13" s="20">
        <f ca="1">IFERROR(IF(C13="", "", _xludf.IFS(6&gt;=IFERROR(VLOOKUP(C13, 'Birim Fiyat Master'!A$6:M$30, 13, FALSE), 99), VLOOKUP(C13, 'Birim Fiyat Master'!A$6:M$30, 12, FALSE), 6&gt;=IFERROR(VLOOKUP(C13, 'Birim Fiyat Master'!A$6:M$30, 11, FALSE), 99), VLOOKUP(C13, 'Birim Fiyat Master'!A$6:M$30, 10, FALSE), 6&gt;=IFERROR(VLOOKUP(C13, 'Birim Fiyat Master'!A$6:M$30, 9, FALSE), 99), VLOOKUP(C13, 'Birim Fiyat Master'!A$6:M$30, 8, FALSE), 6&gt;=IFERROR(VLOOKUP(C13, 'Birim Fiyat Master'!A$6:M$30, 7, FALSE), 99), VLOOKUP(C13, 'Birim Fiyat Master'!A$6:M$30, 6, FALSE), TRUE, VLOOKUP(C13, 'Birim Fiyat Master'!A$6:M$30, 4, FALSE))), VLOOKUP(C13, 'Birim Fiyat Master'!A$6:M$30, 4, FALSE))</f>
      </c>
      <c r="AF13" s="20">
        <f t="shared" ca="1" si="11"/>
      </c>
      <c r="AG13" s="19"/>
      <c r="AH13" s="19">
        <f t="shared" si="12"/>
      </c>
      <c r="AI13" s="20">
        <f ca="1">IFERROR(IF(C13="", "", _xludf.IFS(7&gt;=IFERROR(VLOOKUP(C13, 'Birim Fiyat Master'!A$6:M$30, 13, FALSE), 99), VLOOKUP(C13, 'Birim Fiyat Master'!A$6:M$30, 12, FALSE), 7&gt;=IFERROR(VLOOKUP(C13, 'Birim Fiyat Master'!A$6:M$30, 11, FALSE), 99), VLOOKUP(C13, 'Birim Fiyat Master'!A$6:M$30, 10, FALSE), 7&gt;=IFERROR(VLOOKUP(C13, 'Birim Fiyat Master'!A$6:M$30, 9, FALSE), 99), VLOOKUP(C13, 'Birim Fiyat Master'!A$6:M$30, 8, FALSE), 7&gt;=IFERROR(VLOOKUP(C13, 'Birim Fiyat Master'!A$6:M$30, 7, FALSE), 99), VLOOKUP(C13, 'Birim Fiyat Master'!A$6:M$30, 6, FALSE), TRUE, VLOOKUP(C13, 'Birim Fiyat Master'!A$6:M$30, 4, FALSE))), VLOOKUP(C13, 'Birim Fiyat Master'!A$6:M$30, 4, FALSE))</f>
      </c>
      <c r="AJ13" s="20">
        <f t="shared" ca="1" si="13"/>
      </c>
      <c r="AK13" s="19"/>
      <c r="AL13" s="19">
        <f t="shared" si="14"/>
      </c>
      <c r="AM13" s="20">
        <f ca="1">IFERROR(IF(C13="", "", _xludf.IFS(8&gt;=IFERROR(VLOOKUP(C13, 'Birim Fiyat Master'!A$6:M$30, 13, FALSE), 99), VLOOKUP(C13, 'Birim Fiyat Master'!A$6:M$30, 12, FALSE), 8&gt;=IFERROR(VLOOKUP(C13, 'Birim Fiyat Master'!A$6:M$30, 11, FALSE), 99), VLOOKUP(C13, 'Birim Fiyat Master'!A$6:M$30, 10, FALSE), 8&gt;=IFERROR(VLOOKUP(C13, 'Birim Fiyat Master'!A$6:M$30, 9, FALSE), 99), VLOOKUP(C13, 'Birim Fiyat Master'!A$6:M$30, 8, FALSE), 8&gt;=IFERROR(VLOOKUP(C13, 'Birim Fiyat Master'!A$6:M$30, 7, FALSE), 99), VLOOKUP(C13, 'Birim Fiyat Master'!A$6:M$30, 6, FALSE), TRUE, VLOOKUP(C13, 'Birim Fiyat Master'!A$6:M$30, 4, FALSE))), VLOOKUP(C13, 'Birim Fiyat Master'!A$6:M$30, 4, FALSE))</f>
      </c>
      <c r="AN13" s="20">
        <f t="shared" ca="1" si="15"/>
      </c>
      <c r="AO13" s="19"/>
      <c r="AP13" s="19">
        <f t="shared" si="16"/>
      </c>
      <c r="AQ13" s="20">
        <f ca="1">IFERROR(IF(C13="", "", _xludf.IFS(9&gt;=IFERROR(VLOOKUP(C13, 'Birim Fiyat Master'!A$6:M$30, 13, FALSE), 99), VLOOKUP(C13, 'Birim Fiyat Master'!A$6:M$30, 12, FALSE), 9&gt;=IFERROR(VLOOKUP(C13, 'Birim Fiyat Master'!A$6:M$30, 11, FALSE), 99), VLOOKUP(C13, 'Birim Fiyat Master'!A$6:M$30, 10, FALSE), 9&gt;=IFERROR(VLOOKUP(C13, 'Birim Fiyat Master'!A$6:M$30, 9, FALSE), 99), VLOOKUP(C13, 'Birim Fiyat Master'!A$6:M$30, 8, FALSE), 9&gt;=IFERROR(VLOOKUP(C13, 'Birim Fiyat Master'!A$6:M$30, 7, FALSE), 99), VLOOKUP(C13, 'Birim Fiyat Master'!A$6:M$30, 6, FALSE), TRUE, VLOOKUP(C13, 'Birim Fiyat Master'!A$6:M$30, 4, FALSE))), VLOOKUP(C13, 'Birim Fiyat Master'!A$6:M$30, 4, FALSE))</f>
      </c>
      <c r="AR13" s="20">
        <f t="shared" ca="1" si="17"/>
      </c>
      <c r="AS13" s="19"/>
      <c r="AT13" s="19">
        <f t="shared" si="18"/>
      </c>
      <c r="AU13" s="20">
        <f ca="1">IFERROR(IF(C13="", "", _xludf.IFS(10&gt;=IFERROR(VLOOKUP(C13, 'Birim Fiyat Master'!A$6:M$30, 13, FALSE), 99), VLOOKUP(C13, 'Birim Fiyat Master'!A$6:M$30, 12, FALSE), 10&gt;=IFERROR(VLOOKUP(C13, 'Birim Fiyat Master'!A$6:M$30, 11, FALSE), 99), VLOOKUP(C13, 'Birim Fiyat Master'!A$6:M$30, 10, FALSE), 10&gt;=IFERROR(VLOOKUP(C13, 'Birim Fiyat Master'!A$6:M$30, 9, FALSE), 99), VLOOKUP(C13, 'Birim Fiyat Master'!A$6:M$30, 8, FALSE), 10&gt;=IFERROR(VLOOKUP(C13, 'Birim Fiyat Master'!A$6:M$30, 7, FALSE), 99), VLOOKUP(C13, 'Birim Fiyat Master'!A$6:M$30, 6, FALSE), TRUE, VLOOKUP(C13, 'Birim Fiyat Master'!A$6:M$30, 4, FALSE))), VLOOKUP(C13, 'Birim Fiyat Master'!A$6:M$30, 4, FALSE))</f>
      </c>
      <c r="AV13" s="20">
        <f t="shared" ca="1" si="19"/>
      </c>
      <c r="AW13" s="19"/>
      <c r="AX13" s="19">
        <f t="shared" si="20"/>
      </c>
      <c r="AY13" s="20">
        <f ca="1">IFERROR(IF(C13="", "", _xludf.IFS(11&gt;=IFERROR(VLOOKUP(C13, 'Birim Fiyat Master'!A$6:M$30, 13, FALSE), 99), VLOOKUP(C13, 'Birim Fiyat Master'!A$6:M$30, 12, FALSE), 11&gt;=IFERROR(VLOOKUP(C13, 'Birim Fiyat Master'!A$6:M$30, 11, FALSE), 99), VLOOKUP(C13, 'Birim Fiyat Master'!A$6:M$30, 10, FALSE), 11&gt;=IFERROR(VLOOKUP(C13, 'Birim Fiyat Master'!A$6:M$30, 9, FALSE), 99), VLOOKUP(C13, 'Birim Fiyat Master'!A$6:M$30, 8, FALSE), 11&gt;=IFERROR(VLOOKUP(C13, 'Birim Fiyat Master'!A$6:M$30, 7, FALSE), 99), VLOOKUP(C13, 'Birim Fiyat Master'!A$6:M$30, 6, FALSE), TRUE, VLOOKUP(C13, 'Birim Fiyat Master'!A$6:M$30, 4, FALSE))), VLOOKUP(C13, 'Birim Fiyat Master'!A$6:M$30, 4, FALSE))</f>
      </c>
      <c r="AZ13" s="20">
        <f t="shared" ca="1" si="21"/>
      </c>
      <c r="BA13" s="19"/>
      <c r="BB13" s="19">
        <f t="shared" si="22"/>
      </c>
      <c r="BC13" s="20">
        <f ca="1">IFERROR(IF(C13="", "", _xludf.IFS(12&gt;=IFERROR(VLOOKUP(C13, 'Birim Fiyat Master'!A$6:M$30, 13, FALSE), 99), VLOOKUP(C13, 'Birim Fiyat Master'!A$6:M$30, 12, FALSE), 12&gt;=IFERROR(VLOOKUP(C13, 'Birim Fiyat Master'!A$6:M$30, 11, FALSE), 99), VLOOKUP(C13, 'Birim Fiyat Master'!A$6:M$30, 10, FALSE), 12&gt;=IFERROR(VLOOKUP(C13, 'Birim Fiyat Master'!A$6:M$30, 9, FALSE), 99), VLOOKUP(C13, 'Birim Fiyat Master'!A$6:M$30, 8, FALSE), 12&gt;=IFERROR(VLOOKUP(C13, 'Birim Fiyat Master'!A$6:M$30, 7, FALSE), 99), VLOOKUP(C13, 'Birim Fiyat Master'!A$6:M$30, 6, FALSE), TRUE, VLOOKUP(C13, 'Birim Fiyat Master'!A$6:M$30, 4, FALSE))), VLOOKUP(C13, 'Birim Fiyat Master'!A$6:M$30, 4, FALSE))</f>
      </c>
      <c r="BD13" s="20">
        <f t="shared" ca="1" si="23"/>
      </c>
      <c r="BE13" s="19"/>
      <c r="BF13" s="19">
        <f t="shared" si="24"/>
      </c>
      <c r="BG13" s="20">
        <f ca="1">IFERROR(IF(C13="", "", _xludf.IFS(13&gt;=IFERROR(VLOOKUP(C13, 'Birim Fiyat Master'!A$6:M$30, 13, FALSE), 99), VLOOKUP(C13, 'Birim Fiyat Master'!A$6:M$30, 12, FALSE), 13&gt;=IFERROR(VLOOKUP(C13, 'Birim Fiyat Master'!A$6:M$30, 11, FALSE), 99), VLOOKUP(C13, 'Birim Fiyat Master'!A$6:M$30, 10, FALSE), 13&gt;=IFERROR(VLOOKUP(C13, 'Birim Fiyat Master'!A$6:M$30, 9, FALSE), 99), VLOOKUP(C13, 'Birim Fiyat Master'!A$6:M$30, 8, FALSE), 13&gt;=IFERROR(VLOOKUP(C13, 'Birim Fiyat Master'!A$6:M$30, 7, FALSE), 99), VLOOKUP(C13, 'Birim Fiyat Master'!A$6:M$30, 6, FALSE), TRUE, VLOOKUP(C13, 'Birim Fiyat Master'!A$6:M$30, 4, FALSE))), VLOOKUP(C13, 'Birim Fiyat Master'!A$6:M$30, 4, FALSE))</f>
      </c>
      <c r="BH13" s="20">
        <f t="shared" ca="1" si="25"/>
      </c>
      <c r="BI13" s="19"/>
      <c r="BJ13" s="19">
        <f t="shared" si="26"/>
      </c>
      <c r="BK13" s="20">
        <f ca="1">IFERROR(IF(C13="", "", _xludf.IFS(14&gt;=IFERROR(VLOOKUP(C13, 'Birim Fiyat Master'!A$6:M$30, 13, FALSE), 99), VLOOKUP(C13, 'Birim Fiyat Master'!A$6:M$30, 12, FALSE), 14&gt;=IFERROR(VLOOKUP(C13, 'Birim Fiyat Master'!A$6:M$30, 11, FALSE), 99), VLOOKUP(C13, 'Birim Fiyat Master'!A$6:M$30, 10, FALSE), 14&gt;=IFERROR(VLOOKUP(C13, 'Birim Fiyat Master'!A$6:M$30, 9, FALSE), 99), VLOOKUP(C13, 'Birim Fiyat Master'!A$6:M$30, 8, FALSE), 14&gt;=IFERROR(VLOOKUP(C13, 'Birim Fiyat Master'!A$6:M$30, 7, FALSE), 99), VLOOKUP(C13, 'Birim Fiyat Master'!A$6:M$30, 6, FALSE), TRUE, VLOOKUP(C13, 'Birim Fiyat Master'!A$6:M$30, 4, FALSE))), VLOOKUP(C13, 'Birim Fiyat Master'!A$6:M$30, 4, FALSE))</f>
      </c>
      <c r="BL13" s="20">
        <f t="shared" ca="1" si="27"/>
      </c>
      <c r="BM13" s="19"/>
      <c r="BN13" s="19">
        <f t="shared" si="28"/>
      </c>
      <c r="BO13" s="20">
        <f ca="1">IFERROR(IF(C13="", "", _xludf.IFS(15&gt;=IFERROR(VLOOKUP(C13, 'Birim Fiyat Master'!A$6:M$30, 13, FALSE), 99), VLOOKUP(C13, 'Birim Fiyat Master'!A$6:M$30, 12, FALSE), 15&gt;=IFERROR(VLOOKUP(C13, 'Birim Fiyat Master'!A$6:M$30, 11, FALSE), 99), VLOOKUP(C13, 'Birim Fiyat Master'!A$6:M$30, 10, FALSE), 15&gt;=IFERROR(VLOOKUP(C13, 'Birim Fiyat Master'!A$6:M$30, 9, FALSE), 99), VLOOKUP(C13, 'Birim Fiyat Master'!A$6:M$30, 8, FALSE), 15&gt;=IFERROR(VLOOKUP(C13, 'Birim Fiyat Master'!A$6:M$30, 7, FALSE), 99), VLOOKUP(C13, 'Birim Fiyat Master'!A$6:M$30, 6, FALSE), TRUE, VLOOKUP(C13, 'Birim Fiyat Master'!A$6:M$30, 4, FALSE))), VLOOKUP(C13, 'Birim Fiyat Master'!A$6:M$30, 4, FALSE))</f>
      </c>
      <c r="BP13" s="20">
        <f t="shared" ca="1" si="29"/>
      </c>
      <c r="BQ13" s="3"/>
    </row>
    <row r="14" spans="1:69" ht="22.05" customHeight="1" x14ac:dyDescent="0.3">
      <c r="A14" s="2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3"/>
    </row>
    <row r="15" spans="1:69" ht="22.05" customHeight="1" x14ac:dyDescent="0.3">
      <c r="A15" s="2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3"/>
    </row>
    <row r="16" spans="1:69" ht="22.05" customHeight="1" x14ac:dyDescent="0.3">
      <c r="A16" s="2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3"/>
    </row>
    <row r="17" spans="1:69" ht="22.05" customHeight="1" x14ac:dyDescent="0.3">
      <c r="A17" s="2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3"/>
    </row>
    <row r="18" spans="1:69" ht="22.05" customHeight="1" x14ac:dyDescent="0.3">
      <c r="A18" s="2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3"/>
    </row>
    <row r="19" spans="1:69" ht="22.05" customHeight="1" x14ac:dyDescent="0.3">
      <c r="A19" s="21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3"/>
    </row>
    <row r="20" spans="1:69" ht="22.05" customHeight="1" x14ac:dyDescent="0.3">
      <c r="A20" s="2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3"/>
    </row>
    <row r="21" spans="1:69" ht="22.05" customHeight="1" x14ac:dyDescent="0.3">
      <c r="A21" s="2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3"/>
    </row>
    <row r="22" spans="1:69" ht="22.05" customHeight="1" x14ac:dyDescent="0.3">
      <c r="A22" s="21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3"/>
    </row>
    <row r="23" spans="1:69" ht="22.05" customHeight="1" x14ac:dyDescent="0.3">
      <c r="A23" s="21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3"/>
    </row>
    <row r="24" spans="1:69" ht="22.05" customHeight="1" x14ac:dyDescent="0.3">
      <c r="A24" s="2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3"/>
    </row>
    <row r="25" spans="1:69" ht="22.05" customHeight="1" x14ac:dyDescent="0.3">
      <c r="A25" s="2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3"/>
    </row>
    <row r="26" spans="1:69" ht="22.05" customHeight="1" x14ac:dyDescent="0.3">
      <c r="A26" s="2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3"/>
    </row>
    <row r="27" spans="1:69" ht="22.05" customHeight="1" x14ac:dyDescent="0.3">
      <c r="A27" s="2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3"/>
    </row>
    <row r="28" spans="1:69" ht="22.05" customHeight="1" x14ac:dyDescent="0.3">
      <c r="A28" s="21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3"/>
    </row>
    <row r="29" spans="1:69" ht="22.05" customHeight="1" x14ac:dyDescent="0.3">
      <c r="A29" s="2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3"/>
    </row>
    <row r="30" spans="1:69" ht="22.05" customHeight="1" x14ac:dyDescent="0.3">
      <c r="A30" s="2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3"/>
    </row>
    <row r="31" spans="1:69" ht="25.05" customHeight="1" x14ac:dyDescent="0.3">
      <c r="A31" s="50" t="inlineStr">
        <is>
          <t xml:space="preserve">TOPLAM</t>
        </is>
      </c>
      <c r="B31" s="51"/>
      <c r="C31" s="51"/>
      <c r="D31" s="51"/>
      <c r="E31" s="51"/>
      <c r="F31" s="22">
        <f>SUM(F7:F30)</f>
      </c>
      <c r="G31" s="22">
        <f>SUM(G7:G30)</f>
      </c>
      <c r="H31" s="22">
        <f>SUM(H7:H30)</f>
      </c>
      <c r="I31" s="22">
        <f>SUM(I7:I30)</f>
      </c>
      <c r="J31" s="22">
        <f>SUM(J7:J30)</f>
      </c>
      <c r="K31" s="23" t="inlineStr">
        <is>
          <t xml:space="preserve">-</t>
        </is>
      </c>
      <c r="L31" s="15">
        <f ca="1">SUM(L7:L30)</f>
      </c>
      <c r="M31" s="22">
        <f>SUM(M7:M30)</f>
      </c>
      <c r="N31" s="22">
        <f>SUM(N7:N30)</f>
      </c>
      <c r="O31" s="23" t="inlineStr">
        <is>
          <t xml:space="preserve">-</t>
        </is>
      </c>
      <c r="P31" s="15">
        <f ca="1">SUM(P7:P30)</f>
      </c>
      <c r="Q31" s="22">
        <f>SUM(Q7:Q30)</f>
      </c>
      <c r="R31" s="22">
        <f>SUM(R7:R30)</f>
      </c>
      <c r="S31" s="23" t="inlineStr">
        <is>
          <t xml:space="preserve">-</t>
        </is>
      </c>
      <c r="T31" s="15">
        <f ca="1">SUM(T7:T30)</f>
      </c>
      <c r="U31" s="22">
        <f>SUM(U7:U30)</f>
      </c>
      <c r="V31" s="22">
        <f>SUM(V7:V30)</f>
      </c>
      <c r="W31" s="23" t="inlineStr">
        <is>
          <t xml:space="preserve">-</t>
        </is>
      </c>
      <c r="X31" s="15">
        <f ca="1">SUM(X7:X30)</f>
      </c>
      <c r="Y31" s="22">
        <f>SUM(Y7:Y30)</f>
      </c>
      <c r="Z31" s="22">
        <f>SUM(Z7:Z30)</f>
      </c>
      <c r="AA31" s="23" t="inlineStr">
        <is>
          <t xml:space="preserve">-</t>
        </is>
      </c>
      <c r="AB31" s="15">
        <f ca="1">SUM(AB7:AB30)</f>
      </c>
      <c r="AC31" s="22">
        <f>SUM(AC7:AC30)</f>
      </c>
      <c r="AD31" s="22">
        <f>SUM(AD7:AD30)</f>
      </c>
      <c r="AE31" s="23" t="inlineStr">
        <is>
          <t xml:space="preserve">-</t>
        </is>
      </c>
      <c r="AF31" s="15">
        <f ca="1">SUM(AF7:AF30)</f>
      </c>
      <c r="AG31" s="22">
        <f>SUM(AG7:AG30)</f>
      </c>
      <c r="AH31" s="22">
        <f>SUM(AH7:AH30)</f>
      </c>
      <c r="AI31" s="23" t="inlineStr">
        <is>
          <t xml:space="preserve">-</t>
        </is>
      </c>
      <c r="AJ31" s="15">
        <f ca="1">SUM(AJ7:AJ30)</f>
      </c>
      <c r="AK31" s="22">
        <f>SUM(AK7:AK30)</f>
      </c>
      <c r="AL31" s="22">
        <f>SUM(AL7:AL30)</f>
      </c>
      <c r="AM31" s="23" t="inlineStr">
        <is>
          <t xml:space="preserve">-</t>
        </is>
      </c>
      <c r="AN31" s="15">
        <f ca="1">SUM(AN7:AN30)</f>
      </c>
      <c r="AO31" s="22">
        <f>SUM(AO7:AO30)</f>
      </c>
      <c r="AP31" s="22">
        <f>SUM(AP7:AP30)</f>
      </c>
      <c r="AQ31" s="23" t="inlineStr">
        <is>
          <t xml:space="preserve">-</t>
        </is>
      </c>
      <c r="AR31" s="15">
        <f ca="1">SUM(AR7:AR30)</f>
      </c>
      <c r="AS31" s="22">
        <f>SUM(AS7:AS30)</f>
      </c>
      <c r="AT31" s="22">
        <f>SUM(AT7:AT30)</f>
      </c>
      <c r="AU31" s="23" t="inlineStr">
        <is>
          <t xml:space="preserve">-</t>
        </is>
      </c>
      <c r="AV31" s="15">
        <f ca="1">SUM(AV7:AV30)</f>
      </c>
      <c r="AW31" s="22">
        <f>SUM(AW7:AW30)</f>
      </c>
      <c r="AX31" s="22">
        <f>SUM(AX7:AX30)</f>
      </c>
      <c r="AY31" s="23" t="inlineStr">
        <is>
          <t xml:space="preserve">-</t>
        </is>
      </c>
      <c r="AZ31" s="15">
        <f ca="1">SUM(AZ7:AZ30)</f>
      </c>
      <c r="BA31" s="22">
        <f>SUM(BA7:BA30)</f>
      </c>
      <c r="BB31" s="22">
        <f>SUM(BB7:BB30)</f>
      </c>
      <c r="BC31" s="23" t="inlineStr">
        <is>
          <t xml:space="preserve">-</t>
        </is>
      </c>
      <c r="BD31" s="15">
        <f ca="1">SUM(BD7:BD30)</f>
      </c>
      <c r="BE31" s="22">
        <f>SUM(BE7:BE30)</f>
      </c>
      <c r="BF31" s="22">
        <f>SUM(BF7:BF30)</f>
      </c>
      <c r="BG31" s="23" t="inlineStr">
        <is>
          <t xml:space="preserve">-</t>
        </is>
      </c>
      <c r="BH31" s="15">
        <f ca="1">SUM(BH7:BH30)</f>
      </c>
      <c r="BI31" s="22">
        <f>SUM(BI7:BI30)</f>
      </c>
      <c r="BJ31" s="22">
        <f>SUM(BJ7:BJ30)</f>
      </c>
      <c r="BK31" s="23" t="inlineStr">
        <is>
          <t xml:space="preserve">-</t>
        </is>
      </c>
      <c r="BL31" s="15">
        <f ca="1">SUM(BL7:BL30)</f>
      </c>
      <c r="BM31" s="22">
        <f>SUM(BM7:BM30)</f>
      </c>
      <c r="BN31" s="22">
        <f>SUM(BN7:BN30)</f>
      </c>
      <c r="BO31" s="23" t="inlineStr">
        <is>
          <t xml:space="preserve">-</t>
        </is>
      </c>
      <c r="BP31" s="15">
        <f ca="1">SUM(BP7:BP30)</f>
      </c>
      <c r="BQ31" s="24"/>
    </row>
  </sheetData>
  <mergeCells count="18">
    <mergeCell ref="A31:E31"/>
    <mergeCell ref="A1:BQ1"/>
    <mergeCell ref="Q5:T5"/>
    <mergeCell ref="U5:X5"/>
    <mergeCell ref="Y5:AB5"/>
    <mergeCell ref="I5:L5"/>
    <mergeCell ref="M5:P5"/>
    <mergeCell ref="AC5:AF5"/>
    <mergeCell ref="A3:BQ3"/>
    <mergeCell ref="AG5:AJ5"/>
    <mergeCell ref="AK5:AN5"/>
    <mergeCell ref="BA5:BD5"/>
    <mergeCell ref="AW5:AZ5"/>
    <mergeCell ref="AO5:AR5"/>
    <mergeCell ref="BE5:BH5"/>
    <mergeCell ref="BI5:BL5"/>
    <mergeCell ref="BM5:BP5"/>
    <mergeCell ref="AS5:AV5"/>
  </mergeCell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0"/>
  <sheetViews>
    <sheetView workbookViewId="0">
      <selection activeCell="I10" sqref="I10"/>
    </sheetView>
  </sheetViews>
  <sheetFormatPr defaultRowHeight="14.4" x14ac:dyDescent="0.3"/>
  <cols>
    <col min="6" max="6" width="12.6640625" bestFit="1" customWidth="1"/>
    <col min="7" max="7" width="14.6640625" bestFit="1" customWidth="1"/>
  </cols>
  <sheetData>
    <row r="1" spans="1:7" ht="40.049999999999997" customHeight="1" x14ac:dyDescent="0.3">
      <c r="A1" s="32" t="inlineStr">
        <is>
          <t xml:space="preserve">EK İŞLER, TUTANAKLAR VE ŞANTİYE EKSTRALARI (1 - 15. DÖNEM)</t>
        </is>
      </c>
      <c r="B1" s="33"/>
      <c r="C1" s="33"/>
      <c r="D1" s="33"/>
      <c r="E1" s="33"/>
      <c r="F1" s="33"/>
      <c r="G1" s="34"/>
    </row>
    <row r="2" spans="1:7" x14ac:dyDescent="0.3">
      <c r="A2" s="1"/>
      <c r="B2" s="2"/>
      <c r="C2" s="2"/>
      <c r="D2" s="2"/>
      <c r="E2" s="2"/>
      <c r="F2" s="2"/>
      <c r="G2" s="3"/>
    </row>
    <row r="3" spans="1:7" x14ac:dyDescent="0.3">
      <c r="A3" s="1"/>
      <c r="B3" s="2"/>
      <c r="C3" s="2"/>
      <c r="D3" s="2"/>
      <c r="E3" s="2"/>
      <c r="F3" s="2"/>
      <c r="G3" s="3"/>
    </row>
    <row r="4" spans="1:7" x14ac:dyDescent="0.3">
      <c r="A4" s="1"/>
      <c r="B4" s="2"/>
      <c r="C4" s="2"/>
      <c r="D4" s="2"/>
      <c r="E4" s="2"/>
      <c r="F4" s="2"/>
      <c r="G4" s="3"/>
    </row>
    <row r="5" spans="1:7" ht="25.05" customHeight="1" x14ac:dyDescent="0.3">
      <c r="A5" s="8" t="inlineStr">
        <is>
          <t xml:space="preserve">Tarih</t>
        </is>
      </c>
      <c r="B5" s="9" t="inlineStr">
        <is>
          <t xml:space="preserve">Hakediş Dönemi</t>
        </is>
      </c>
      <c r="C5" s="9" t="inlineStr">
        <is>
          <t xml:space="preserve">Tür</t>
        </is>
      </c>
      <c r="D5" s="9" t="inlineStr">
        <is>
          <t xml:space="preserve">Açıklama</t>
        </is>
      </c>
      <c r="E5" s="9" t="inlineStr">
        <is>
          <t xml:space="preserve">Miktar</t>
        </is>
      </c>
      <c r="F5" s="9" t="inlineStr">
        <is>
          <t xml:space="preserve">Birim Fiyat (TL)</t>
        </is>
      </c>
      <c r="G5" s="10" t="inlineStr">
        <is>
          <t xml:space="preserve">Toplam Tutar (TL)</t>
        </is>
      </c>
    </row>
    <row r="6" spans="1:7" ht="22.05" customHeight="1" x14ac:dyDescent="0.3">
      <c r="A6" s="17"/>
      <c r="B6" s="18"/>
      <c r="C6" s="18"/>
      <c r="D6" s="2"/>
      <c r="E6" s="19"/>
      <c r="F6" s="20"/>
      <c r="G6" s="25">
        <f>E6*F6</f>
      </c>
    </row>
    <row r="7" spans="1:7" ht="22.05" customHeight="1" x14ac:dyDescent="0.3">
      <c r="A7" s="17"/>
      <c r="B7" s="18"/>
      <c r="C7" s="18"/>
      <c r="D7" s="2"/>
      <c r="E7" s="19"/>
      <c r="F7" s="20"/>
      <c r="G7" s="25">
        <f>E7*F7</f>
      </c>
    </row>
    <row r="8" spans="1:7" ht="25.05" customHeight="1" x14ac:dyDescent="0.3">
      <c r="A8" s="56" t="inlineStr">
        <is>
          <t xml:space="preserve">TOPLAM EK İŞLER</t>
        </is>
      </c>
      <c r="B8" s="36"/>
      <c r="C8" s="36"/>
      <c r="D8" s="36"/>
      <c r="E8" s="19">
        <f>SUM(E6:E7)</f>
      </c>
      <c r="F8" s="2"/>
      <c r="G8" s="25">
        <f>SUM(G6:G7)</f>
      </c>
    </row>
    <row r="9" spans="1:7" x14ac:dyDescent="0.3">
      <c r="A9" s="1"/>
      <c r="B9" s="2"/>
      <c r="C9" s="2"/>
      <c r="D9" s="2"/>
      <c r="E9" s="2"/>
      <c r="F9" s="2"/>
      <c r="G9" s="3"/>
    </row>
    <row r="10" spans="1:7" x14ac:dyDescent="0.3">
      <c r="A10" s="26"/>
      <c r="B10" s="27"/>
      <c r="C10" s="27"/>
      <c r="D10" s="27"/>
      <c r="E10" s="27"/>
      <c r="F10" s="27"/>
      <c r="G10" s="24"/>
    </row>
  </sheetData>
  <mergeCells count="2">
    <mergeCell ref="A8:D8"/>
    <mergeCell ref="A1:G1"/>
  </mergeCells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0"/>
  <sheetViews>
    <sheetView workbookViewId="0">
      <selection sqref="A1:G1"/>
    </sheetView>
  </sheetViews>
  <sheetFormatPr defaultRowHeight="14.4" x14ac:dyDescent="0.3"/>
  <cols>
    <col min="1" max="1" width="10.33203125" bestFit="1" customWidth="1"/>
    <col min="2" max="2" width="17.21875" bestFit="1" customWidth="1"/>
    <col min="3" max="3" width="7.33203125" bestFit="1" customWidth="1"/>
    <col min="4" max="4" width="29.88671875" bestFit="1" customWidth="1"/>
    <col min="5" max="5" width="14.109375" customWidth="1"/>
    <col min="6" max="6" width="30.21875" customWidth="1"/>
    <col min="7" max="7" width="44.5546875" customWidth="1"/>
  </cols>
  <sheetData>
    <row r="1" spans="1:7" ht="40.049999999999997" customHeight="1" x14ac:dyDescent="0.3">
      <c r="A1" s="32" t="inlineStr">
        <is>
          <t xml:space="preserve">KESİNTİLER VE CEZALAR (1 - 15. DÖNEM)</t>
        </is>
      </c>
      <c r="B1" s="33"/>
      <c r="C1" s="33"/>
      <c r="D1" s="33"/>
      <c r="E1" s="33"/>
      <c r="F1" s="33"/>
      <c r="G1" s="34"/>
    </row>
    <row r="2" spans="1:7" x14ac:dyDescent="0.3">
      <c r="A2" s="1"/>
      <c r="B2" s="2"/>
      <c r="C2" s="2"/>
      <c r="D2" s="2"/>
      <c r="E2" s="2"/>
      <c r="F2" s="2"/>
      <c r="G2" s="3"/>
    </row>
    <row r="3" spans="1:7" x14ac:dyDescent="0.3">
      <c r="A3" s="1"/>
      <c r="B3" s="2"/>
      <c r="C3" s="2"/>
      <c r="D3" s="2"/>
      <c r="E3" s="2"/>
      <c r="F3" s="2"/>
      <c r="G3" s="3"/>
    </row>
    <row r="4" spans="1:7" x14ac:dyDescent="0.3">
      <c r="A4" s="1"/>
      <c r="B4" s="2"/>
      <c r="C4" s="2"/>
      <c r="D4" s="2"/>
      <c r="E4" s="2"/>
      <c r="F4" s="2"/>
      <c r="G4" s="3"/>
    </row>
    <row r="5" spans="1:7" ht="25.05" customHeight="1" x14ac:dyDescent="0.3">
      <c r="A5" s="8" t="inlineStr">
        <is>
          <t xml:space="preserve">Tarih</t>
        </is>
      </c>
      <c r="B5" s="9" t="inlineStr">
        <is>
          <t xml:space="preserve">Hakediş Dönemi</t>
        </is>
      </c>
      <c r="C5" s="9" t="inlineStr">
        <is>
          <t xml:space="preserve">Tür</t>
        </is>
      </c>
      <c r="D5" s="9" t="inlineStr">
        <is>
          <t xml:space="preserve">Açıklama</t>
        </is>
      </c>
      <c r="E5" s="9" t="inlineStr">
        <is>
          <t xml:space="preserve">Miktar</t>
        </is>
      </c>
      <c r="F5" s="9" t="inlineStr">
        <is>
          <t xml:space="preserve">Birim Fiyat (TL)</t>
        </is>
      </c>
      <c r="G5" s="10" t="inlineStr">
        <is>
          <t xml:space="preserve">Toplam Kesinti (TL)</t>
        </is>
      </c>
    </row>
    <row r="6" spans="1:7" ht="22.05" customHeight="1" x14ac:dyDescent="0.3">
      <c r="A6" s="17"/>
      <c r="B6" s="18"/>
      <c r="C6" s="18"/>
      <c r="D6" s="2"/>
      <c r="E6" s="19"/>
      <c r="F6" s="20"/>
      <c r="G6" s="25">
        <f>E6*F6</f>
      </c>
    </row>
    <row r="7" spans="1:7" ht="22.05" customHeight="1" x14ac:dyDescent="0.3">
      <c r="A7" s="17"/>
      <c r="B7" s="18"/>
      <c r="C7" s="18"/>
      <c r="D7" s="2"/>
      <c r="E7" s="19"/>
      <c r="F7" s="20"/>
      <c r="G7" s="25">
        <f>E7*F7</f>
      </c>
    </row>
    <row r="8" spans="1:7" ht="25.05" customHeight="1" x14ac:dyDescent="0.3">
      <c r="A8" s="56" t="inlineStr">
        <is>
          <t xml:space="preserve">TOPLAM KESİNTİLER</t>
        </is>
      </c>
      <c r="B8" s="36"/>
      <c r="C8" s="36"/>
      <c r="D8" s="36"/>
      <c r="E8" s="19">
        <f>SUM(E6:E7)</f>
      </c>
      <c r="F8" s="2"/>
      <c r="G8" s="25">
        <f>SUM(G6:G7)</f>
      </c>
    </row>
    <row r="9" spans="1:7" x14ac:dyDescent="0.3">
      <c r="A9" s="1"/>
      <c r="B9" s="2"/>
      <c r="C9" s="2"/>
      <c r="D9" s="2"/>
      <c r="E9" s="2"/>
      <c r="F9" s="2"/>
      <c r="G9" s="3"/>
    </row>
    <row r="10" spans="1:7" x14ac:dyDescent="0.3">
      <c r="A10" s="26"/>
      <c r="B10" s="27"/>
      <c r="C10" s="27"/>
      <c r="D10" s="27"/>
      <c r="E10" s="27"/>
      <c r="F10" s="27"/>
      <c r="G10" s="24"/>
    </row>
  </sheetData>
  <mergeCells count="2">
    <mergeCell ref="A8:D8"/>
    <mergeCell ref="A1:G1"/>
  </mergeCells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Q30"/>
  <sheetViews>
    <sheetView tabSelected="1" workbookViewId="0">
      <pane xSplit="7" ySplit="6" topLeftCell="H7" activePane="bottomRight" state="frozen"/>
      <selection pane="topRight"/>
      <selection pane="bottomLeft"/>
      <selection pane="bottomRight" activeCell="O14" sqref="O14"/>
    </sheetView>
  </sheetViews>
  <sheetFormatPr defaultRowHeight="14.4" x14ac:dyDescent="0.3"/>
  <sheetData>
    <row r="1" spans="1:69" ht="40.049999999999997" customHeight="1" x14ac:dyDescent="0.3">
      <c r="A1" s="32" t="inlineStr">
        <is>
          <t xml:space="preserve">ŞANTİYE GENELİ TÜM İMALATLAR MASTER LİSTESİ (15 DÖNEMLİ)</t>
        </is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4"/>
    </row>
    <row r="2" spans="1:69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3"/>
    </row>
    <row r="3" spans="1:69" ht="19.95" customHeight="1" x14ac:dyDescent="0.3">
      <c r="A3" s="40" t="inlineStr">
        <is>
          <t xml:space="preserve">💡 AÇIKLAMA: İş kalemi yazıldığında Poz No ve dönemlere ait Birim Fiyatlar 'Birim Fiyat Master' sayfasından revizyon kurallarına göre otomatik gelir. A - G sütunları dondurulmuştur.</t>
        </is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7"/>
    </row>
    <row r="4" spans="1:69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3"/>
    </row>
    <row r="5" spans="1:69" ht="25.05" customHeight="1" x14ac:dyDescent="0.3">
      <c r="A5" s="1"/>
      <c r="B5" s="2"/>
      <c r="C5" s="2"/>
      <c r="D5" s="2"/>
      <c r="E5" s="2"/>
      <c r="F5" s="2"/>
      <c r="G5" s="2"/>
      <c r="H5" s="2"/>
      <c r="I5" s="55" t="inlineStr">
        <is>
          <t xml:space="preserve">1. Hakediş Dönemi</t>
        </is>
      </c>
      <c r="J5" s="36"/>
      <c r="K5" s="36"/>
      <c r="L5" s="36"/>
      <c r="M5" s="38" t="inlineStr">
        <is>
          <t xml:space="preserve">2. Hakediş Dönemi</t>
        </is>
      </c>
      <c r="N5" s="36"/>
      <c r="O5" s="36"/>
      <c r="P5" s="36"/>
      <c r="Q5" s="52" t="inlineStr">
        <is>
          <t xml:space="preserve">3. Hakediş Dönemi</t>
        </is>
      </c>
      <c r="R5" s="36"/>
      <c r="S5" s="36"/>
      <c r="T5" s="36"/>
      <c r="U5" s="53" t="inlineStr">
        <is>
          <t xml:space="preserve">4. Hakediş Dönemi</t>
        </is>
      </c>
      <c r="V5" s="36"/>
      <c r="W5" s="36"/>
      <c r="X5" s="36"/>
      <c r="Y5" s="54" t="inlineStr">
        <is>
          <t xml:space="preserve">5. Hakediş Dönemi</t>
        </is>
      </c>
      <c r="Z5" s="36"/>
      <c r="AA5" s="36"/>
      <c r="AB5" s="36"/>
      <c r="AC5" s="39" t="inlineStr">
        <is>
          <t xml:space="preserve">6. Hakediş Dönemi</t>
        </is>
      </c>
      <c r="AD5" s="36"/>
      <c r="AE5" s="36"/>
      <c r="AF5" s="36"/>
      <c r="AG5" s="41" t="inlineStr">
        <is>
          <t xml:space="preserve">7. Hakediş Dönemi</t>
        </is>
      </c>
      <c r="AH5" s="36"/>
      <c r="AI5" s="36"/>
      <c r="AJ5" s="36"/>
      <c r="AK5" s="42" t="inlineStr">
        <is>
          <t xml:space="preserve">8. Hakediş Dönemi</t>
        </is>
      </c>
      <c r="AL5" s="36"/>
      <c r="AM5" s="36"/>
      <c r="AN5" s="36"/>
      <c r="AO5" s="45" t="inlineStr">
        <is>
          <t xml:space="preserve">9. Hakediş Dönemi</t>
        </is>
      </c>
      <c r="AP5" s="36"/>
      <c r="AQ5" s="36"/>
      <c r="AR5" s="36"/>
      <c r="AS5" s="49" t="inlineStr">
        <is>
          <t xml:space="preserve">10. Hakediş Dönemi</t>
        </is>
      </c>
      <c r="AT5" s="36"/>
      <c r="AU5" s="36"/>
      <c r="AV5" s="36"/>
      <c r="AW5" s="44" t="inlineStr">
        <is>
          <t xml:space="preserve">11. Hakediş Dönemi</t>
        </is>
      </c>
      <c r="AX5" s="36"/>
      <c r="AY5" s="36"/>
      <c r="AZ5" s="36"/>
      <c r="BA5" s="43" t="inlineStr">
        <is>
          <t xml:space="preserve">12. Hakediş Dönemi</t>
        </is>
      </c>
      <c r="BB5" s="36"/>
      <c r="BC5" s="36"/>
      <c r="BD5" s="36"/>
      <c r="BE5" s="46" t="inlineStr">
        <is>
          <t xml:space="preserve">13. Hakediş Dönemi</t>
        </is>
      </c>
      <c r="BF5" s="36"/>
      <c r="BG5" s="36"/>
      <c r="BH5" s="36"/>
      <c r="BI5" s="47" t="inlineStr">
        <is>
          <t xml:space="preserve">14. Hakediş Dönemi</t>
        </is>
      </c>
      <c r="BJ5" s="36"/>
      <c r="BK5" s="36"/>
      <c r="BL5" s="36"/>
      <c r="BM5" s="48" t="inlineStr">
        <is>
          <t xml:space="preserve">15. Hakediş Dönemi</t>
        </is>
      </c>
      <c r="BN5" s="36"/>
      <c r="BO5" s="36"/>
      <c r="BP5" s="36"/>
      <c r="BQ5" s="3"/>
    </row>
    <row r="6" spans="1:69" ht="30" customHeight="1" x14ac:dyDescent="0.3">
      <c r="A6" s="8" t="inlineStr">
        <is>
          <t xml:space="preserve">Blok</t>
        </is>
      </c>
      <c r="B6" s="9" t="inlineStr">
        <is>
          <t xml:space="preserve">Cephe</t>
        </is>
      </c>
      <c r="C6" s="9" t="inlineStr">
        <is>
          <t xml:space="preserve">İş Kalemi</t>
        </is>
      </c>
      <c r="D6" s="9" t="inlineStr">
        <is>
          <t xml:space="preserve">Poz No</t>
        </is>
      </c>
      <c r="E6" s="9" t="inlineStr">
        <is>
          <t xml:space="preserve">Birim</t>
        </is>
      </c>
      <c r="F6" s="9" t="inlineStr">
        <is>
          <t xml:space="preserve">Sözleşme Miktarı</t>
        </is>
      </c>
      <c r="G6" s="9" t="inlineStr">
        <is>
          <t xml:space="preserve">Kalan Miktar</t>
        </is>
      </c>
      <c r="H6" s="9" t="inlineStr">
        <is>
          <t xml:space="preserve">Önceki Küm.</t>
        </is>
      </c>
      <c r="I6" s="9" t="inlineStr">
        <is>
          <t xml:space="preserve">1.Dönem Miktar</t>
        </is>
      </c>
      <c r="J6" s="9" t="inlineStr">
        <is>
          <t xml:space="preserve">1.Dönem Küm.</t>
        </is>
      </c>
      <c r="K6" s="9" t="inlineStr">
        <is>
          <t xml:space="preserve">1.Dönem Birim Fiyat</t>
        </is>
      </c>
      <c r="L6" s="9" t="inlineStr">
        <is>
          <t xml:space="preserve">1.Dönem Tutar</t>
        </is>
      </c>
      <c r="M6" s="9" t="inlineStr">
        <is>
          <t xml:space="preserve">2.Dönem Miktar</t>
        </is>
      </c>
      <c r="N6" s="9" t="inlineStr">
        <is>
          <t xml:space="preserve">2.Dönem Küm.</t>
        </is>
      </c>
      <c r="O6" s="9" t="inlineStr">
        <is>
          <t xml:space="preserve">2.Dönem Birim Fiyat</t>
        </is>
      </c>
      <c r="P6" s="9" t="inlineStr">
        <is>
          <t xml:space="preserve">2.Dönem Tutar</t>
        </is>
      </c>
      <c r="Q6" s="9" t="inlineStr">
        <is>
          <t xml:space="preserve">3.Dönem Miktar</t>
        </is>
      </c>
      <c r="R6" s="9" t="inlineStr">
        <is>
          <t xml:space="preserve">3.Dönem Küm.</t>
        </is>
      </c>
      <c r="S6" s="9" t="inlineStr">
        <is>
          <t xml:space="preserve">3.Dönem Birim Fiyat</t>
        </is>
      </c>
      <c r="T6" s="9" t="inlineStr">
        <is>
          <t xml:space="preserve">3.Dönem Tutar</t>
        </is>
      </c>
      <c r="U6" s="9" t="inlineStr">
        <is>
          <t xml:space="preserve">4.Dönem Miktar</t>
        </is>
      </c>
      <c r="V6" s="9" t="inlineStr">
        <is>
          <t xml:space="preserve">4.Dönem Küm.</t>
        </is>
      </c>
      <c r="W6" s="9" t="inlineStr">
        <is>
          <t xml:space="preserve">4.Dönem Birim Fiyat</t>
        </is>
      </c>
      <c r="X6" s="9" t="inlineStr">
        <is>
          <t xml:space="preserve">4.Dönem Tutar</t>
        </is>
      </c>
      <c r="Y6" s="9" t="inlineStr">
        <is>
          <t xml:space="preserve">5.Dönem Miktar</t>
        </is>
      </c>
      <c r="Z6" s="9" t="inlineStr">
        <is>
          <t xml:space="preserve">5.Dönem Küm.</t>
        </is>
      </c>
      <c r="AA6" s="9" t="inlineStr">
        <is>
          <t xml:space="preserve">5.Dönem Birim Fiyat</t>
        </is>
      </c>
      <c r="AB6" s="9" t="inlineStr">
        <is>
          <t xml:space="preserve">5.Dönem Tutar</t>
        </is>
      </c>
      <c r="AC6" s="9" t="inlineStr">
        <is>
          <t xml:space="preserve">6.Dönem Miktar</t>
        </is>
      </c>
      <c r="AD6" s="9" t="inlineStr">
        <is>
          <t xml:space="preserve">6.Dönem Küm.</t>
        </is>
      </c>
      <c r="AE6" s="9" t="inlineStr">
        <is>
          <t xml:space="preserve">6.Dönem Birim Fiyat</t>
        </is>
      </c>
      <c r="AF6" s="9" t="inlineStr">
        <is>
          <t xml:space="preserve">6.Dönem Tutar</t>
        </is>
      </c>
      <c r="AG6" s="9" t="inlineStr">
        <is>
          <t xml:space="preserve">7.Dönem Miktar</t>
        </is>
      </c>
      <c r="AH6" s="9" t="inlineStr">
        <is>
          <t xml:space="preserve">7.Dönem Küm.</t>
        </is>
      </c>
      <c r="AI6" s="9" t="inlineStr">
        <is>
          <t xml:space="preserve">7.Dönem Birim Fiyat</t>
        </is>
      </c>
      <c r="AJ6" s="9" t="inlineStr">
        <is>
          <t xml:space="preserve">7.Dönem Tutar</t>
        </is>
      </c>
      <c r="AK6" s="9" t="inlineStr">
        <is>
          <t xml:space="preserve">8.Dönem Miktar</t>
        </is>
      </c>
      <c r="AL6" s="9" t="inlineStr">
        <is>
          <t xml:space="preserve">8.Dönem Küm.</t>
        </is>
      </c>
      <c r="AM6" s="9" t="inlineStr">
        <is>
          <t xml:space="preserve">8.Dönem Birim Fiyat</t>
        </is>
      </c>
      <c r="AN6" s="9" t="inlineStr">
        <is>
          <t xml:space="preserve">8.Dönem Tutar</t>
        </is>
      </c>
      <c r="AO6" s="9" t="inlineStr">
        <is>
          <t xml:space="preserve">9.Dönem Miktar</t>
        </is>
      </c>
      <c r="AP6" s="9" t="inlineStr">
        <is>
          <t xml:space="preserve">9.Dönem Küm.</t>
        </is>
      </c>
      <c r="AQ6" s="9" t="inlineStr">
        <is>
          <t xml:space="preserve">9.Dönem Birim Fiyat</t>
        </is>
      </c>
      <c r="AR6" s="9" t="inlineStr">
        <is>
          <t xml:space="preserve">9.Dönem Tutar</t>
        </is>
      </c>
      <c r="AS6" s="9" t="inlineStr">
        <is>
          <t xml:space="preserve">10.Dönem Miktar</t>
        </is>
      </c>
      <c r="AT6" s="9" t="inlineStr">
        <is>
          <t xml:space="preserve">10.Dönem Küm.</t>
        </is>
      </c>
      <c r="AU6" s="9" t="inlineStr">
        <is>
          <t xml:space="preserve">10.Dönem Birim Fiyat</t>
        </is>
      </c>
      <c r="AV6" s="9" t="inlineStr">
        <is>
          <t xml:space="preserve">10.Dönem Tutar</t>
        </is>
      </c>
      <c r="AW6" s="9" t="inlineStr">
        <is>
          <t xml:space="preserve">11.Dönem Miktar</t>
        </is>
      </c>
      <c r="AX6" s="9" t="inlineStr">
        <is>
          <t xml:space="preserve">11.Dönem Küm.</t>
        </is>
      </c>
      <c r="AY6" s="9" t="inlineStr">
        <is>
          <t xml:space="preserve">11.Dönem Birim Fiyat</t>
        </is>
      </c>
      <c r="AZ6" s="9" t="inlineStr">
        <is>
          <t xml:space="preserve">11.Dönem Tutar</t>
        </is>
      </c>
      <c r="BA6" s="9" t="inlineStr">
        <is>
          <t xml:space="preserve">12.Dönem Miktar</t>
        </is>
      </c>
      <c r="BB6" s="9" t="inlineStr">
        <is>
          <t xml:space="preserve">12.Dönem Küm.</t>
        </is>
      </c>
      <c r="BC6" s="9" t="inlineStr">
        <is>
          <t xml:space="preserve">12.Dönem Birim Fiyat</t>
        </is>
      </c>
      <c r="BD6" s="9" t="inlineStr">
        <is>
          <t xml:space="preserve">12.Dönem Tutar</t>
        </is>
      </c>
      <c r="BE6" s="9" t="inlineStr">
        <is>
          <t xml:space="preserve">13.Dönem Miktar</t>
        </is>
      </c>
      <c r="BF6" s="9" t="inlineStr">
        <is>
          <t xml:space="preserve">13.Dönem Küm.</t>
        </is>
      </c>
      <c r="BG6" s="9" t="inlineStr">
        <is>
          <t xml:space="preserve">13.Dönem Birim Fiyat</t>
        </is>
      </c>
      <c r="BH6" s="9" t="inlineStr">
        <is>
          <t xml:space="preserve">13.Dönem Tutar</t>
        </is>
      </c>
      <c r="BI6" s="9" t="inlineStr">
        <is>
          <t xml:space="preserve">14.Dönem Miktar</t>
        </is>
      </c>
      <c r="BJ6" s="9" t="inlineStr">
        <is>
          <t xml:space="preserve">14.Dönem Küm.</t>
        </is>
      </c>
      <c r="BK6" s="9" t="inlineStr">
        <is>
          <t xml:space="preserve">14.Dönem Birim Fiyat</t>
        </is>
      </c>
      <c r="BL6" s="9" t="inlineStr">
        <is>
          <t xml:space="preserve">14.Dönem Tutar</t>
        </is>
      </c>
      <c r="BM6" s="9" t="inlineStr">
        <is>
          <t xml:space="preserve">15.Dönem Miktar</t>
        </is>
      </c>
      <c r="BN6" s="9" t="inlineStr">
        <is>
          <t xml:space="preserve">15.Dönem Küm.</t>
        </is>
      </c>
      <c r="BO6" s="9" t="inlineStr">
        <is>
          <t xml:space="preserve">15.Dönem Birim Fiyat</t>
        </is>
      </c>
      <c r="BP6" s="9" t="inlineStr">
        <is>
          <t xml:space="preserve">15.Dönem Tutar</t>
        </is>
      </c>
      <c r="BQ6" s="3"/>
    </row>
    <row r="7" spans="1:69" ht="19.95" customHeight="1" x14ac:dyDescent="0.3">
      <c r="A7" s="21" t="str">
        <f>IF('Hakediş Takip'!C7&lt;&gt;"", 'Hakediş Takip'!A7, "")</f>
      </c>
      <c r="B7" s="5" t="str">
        <f>IF('Hakediş Takip'!C7&lt;&gt;"", 'Hakediş Takip'!B7, "")</f>
      </c>
      <c r="C7" s="5" t="str">
        <f>IF('Hakediş Takip'!C7&lt;&gt;"", 'Hakediş Takip'!C7, "")</f>
      </c>
      <c r="D7" s="5" t="str">
        <f>IF('Hakediş Takip'!C7&lt;&gt;"", 'Hakediş Takip'!D7, "")</f>
      </c>
      <c r="E7" s="5" t="str">
        <f>IF('Hakediş Takip'!C7&lt;&gt;"", 'Hakediş Takip'!E7, "")</f>
      </c>
      <c r="F7" s="5">
        <f>IF('Hakediş Takip'!C7&lt;&gt;"", 'Hakediş Takip'!F7, "")</f>
      </c>
      <c r="G7" s="5">
        <f>IF('Hakediş Takip'!C7&lt;&gt;"", 'Hakediş Takip'!G7, "")</f>
      </c>
      <c r="H7" s="5">
        <f>IF('Hakediş Takip'!C7&lt;&gt;"", 'Hakediş Takip'!H7, "")</f>
      </c>
      <c r="I7" s="5">
        <f>IF('Hakediş Takip'!C7&lt;&gt;"", 'Hakediş Takip'!I7, "")</f>
      </c>
      <c r="J7" s="5">
        <f>IF('Hakediş Takip'!C7&lt;&gt;"", 'Hakediş Takip'!J7, "")</f>
      </c>
      <c r="K7" s="5">
        <f ca="1">IF('Hakediş Takip'!C7&lt;&gt;"", 'Hakediş Takip'!K7, "")</f>
      </c>
      <c r="L7" s="5">
        <f ca="1">IF('Hakediş Takip'!C7&lt;&gt;"", 'Hakediş Takip'!L7, "")</f>
      </c>
      <c r="M7" s="5">
        <f>IF('Hakediş Takip'!C7&lt;&gt;"", 'Hakediş Takip'!M7, "")</f>
      </c>
      <c r="N7" s="5">
        <f>IF('Hakediş Takip'!C7&lt;&gt;"", 'Hakediş Takip'!N7, "")</f>
      </c>
      <c r="O7" s="5">
        <f ca="1">IF('Hakediş Takip'!C7&lt;&gt;"", 'Hakediş Takip'!O7, "")</f>
      </c>
      <c r="P7" s="5">
        <f ca="1">IF('Hakediş Takip'!C7&lt;&gt;"", 'Hakediş Takip'!P7, "")</f>
      </c>
      <c r="Q7" s="5">
        <f>IF('Hakediş Takip'!C7&lt;&gt;"", 'Hakediş Takip'!Q7, "")</f>
      </c>
      <c r="R7" s="5">
        <f>IF('Hakediş Takip'!C7&lt;&gt;"", 'Hakediş Takip'!R7, "")</f>
      </c>
      <c r="S7" s="5">
        <f ca="1">IF('Hakediş Takip'!C7&lt;&gt;"", 'Hakediş Takip'!S7, "")</f>
      </c>
      <c r="T7" s="5">
        <f ca="1">IF('Hakediş Takip'!C7&lt;&gt;"", 'Hakediş Takip'!T7, "")</f>
      </c>
      <c r="U7" s="5">
        <f>IF('Hakediş Takip'!C7&lt;&gt;"", 'Hakediş Takip'!U7, "")</f>
      </c>
      <c r="V7" s="5">
        <f>IF('Hakediş Takip'!C7&lt;&gt;"", 'Hakediş Takip'!V7, "")</f>
      </c>
      <c r="W7" s="5">
        <f ca="1">IF('Hakediş Takip'!C7&lt;&gt;"", 'Hakediş Takip'!W7, "")</f>
      </c>
      <c r="X7" s="5">
        <f ca="1">IF('Hakediş Takip'!C7&lt;&gt;"", 'Hakediş Takip'!X7, "")</f>
      </c>
      <c r="Y7" s="5">
        <f>IF('Hakediş Takip'!C7&lt;&gt;"", 'Hakediş Takip'!Y7, "")</f>
      </c>
      <c r="Z7" s="5">
        <f>IF('Hakediş Takip'!C7&lt;&gt;"", 'Hakediş Takip'!Z7, "")</f>
      </c>
      <c r="AA7" s="5">
        <f ca="1">IF('Hakediş Takip'!C7&lt;&gt;"", 'Hakediş Takip'!AA7, "")</f>
      </c>
      <c r="AB7" s="5">
        <f ca="1">IF('Hakediş Takip'!C7&lt;&gt;"", 'Hakediş Takip'!AB7, "")</f>
      </c>
      <c r="AC7" s="5">
        <f>IF('Hakediş Takip'!C7&lt;&gt;"", 'Hakediş Takip'!AC7, "")</f>
      </c>
      <c r="AD7" s="5">
        <f>IF('Hakediş Takip'!C7&lt;&gt;"", 'Hakediş Takip'!AD7, "")</f>
      </c>
      <c r="AE7" s="5">
        <f ca="1">IF('Hakediş Takip'!C7&lt;&gt;"", 'Hakediş Takip'!AE7, "")</f>
      </c>
      <c r="AF7" s="5">
        <f ca="1">IF('Hakediş Takip'!C7&lt;&gt;"", 'Hakediş Takip'!AF7, "")</f>
      </c>
      <c r="AG7" s="5">
        <f>IF('Hakediş Takip'!C7&lt;&gt;"", 'Hakediş Takip'!AG7, "")</f>
      </c>
      <c r="AH7" s="5">
        <f>IF('Hakediş Takip'!C7&lt;&gt;"", 'Hakediş Takip'!AH7, "")</f>
      </c>
      <c r="AI7" s="5">
        <f ca="1">IF('Hakediş Takip'!C7&lt;&gt;"", 'Hakediş Takip'!AI7, "")</f>
      </c>
      <c r="AJ7" s="5">
        <f ca="1">IF('Hakediş Takip'!C7&lt;&gt;"", 'Hakediş Takip'!AJ7, "")</f>
      </c>
      <c r="AK7" s="5">
        <f>IF('Hakediş Takip'!C7&lt;&gt;"", 'Hakediş Takip'!AK7, "")</f>
      </c>
      <c r="AL7" s="5">
        <f>IF('Hakediş Takip'!C7&lt;&gt;"", 'Hakediş Takip'!AL7, "")</f>
      </c>
      <c r="AM7" s="5">
        <f ca="1">IF('Hakediş Takip'!C7&lt;&gt;"", 'Hakediş Takip'!AM7, "")</f>
      </c>
      <c r="AN7" s="5">
        <f ca="1">IF('Hakediş Takip'!C7&lt;&gt;"", 'Hakediş Takip'!AN7, "")</f>
      </c>
      <c r="AO7" s="5">
        <f>IF('Hakediş Takip'!C7&lt;&gt;"", 'Hakediş Takip'!AO7, "")</f>
      </c>
      <c r="AP7" s="5">
        <f>IF('Hakediş Takip'!C7&lt;&gt;"", 'Hakediş Takip'!AP7, "")</f>
      </c>
      <c r="AQ7" s="5">
        <f ca="1">IF('Hakediş Takip'!C7&lt;&gt;"", 'Hakediş Takip'!AQ7, "")</f>
      </c>
      <c r="AR7" s="5">
        <f ca="1">IF('Hakediş Takip'!C7&lt;&gt;"", 'Hakediş Takip'!AR7, "")</f>
      </c>
      <c r="AS7" s="5">
        <f>IF('Hakediş Takip'!C7&lt;&gt;"", 'Hakediş Takip'!AS7, "")</f>
      </c>
      <c r="AT7" s="5">
        <f>IF('Hakediş Takip'!C7&lt;&gt;"", 'Hakediş Takip'!AT7, "")</f>
      </c>
      <c r="AU7" s="5">
        <f ca="1">IF('Hakediş Takip'!C7&lt;&gt;"", 'Hakediş Takip'!AU7, "")</f>
      </c>
      <c r="AV7" s="5">
        <f ca="1">IF('Hakediş Takip'!C7&lt;&gt;"", 'Hakediş Takip'!AV7, "")</f>
      </c>
      <c r="AW7" s="5">
        <f>IF('Hakediş Takip'!C7&lt;&gt;"", 'Hakediş Takip'!AW7, "")</f>
      </c>
      <c r="AX7" s="5">
        <f>IF('Hakediş Takip'!C7&lt;&gt;"", 'Hakediş Takip'!AX7, "")</f>
      </c>
      <c r="AY7" s="5">
        <f ca="1">IF('Hakediş Takip'!C7&lt;&gt;"", 'Hakediş Takip'!AY7, "")</f>
      </c>
      <c r="AZ7" s="5">
        <f ca="1">IF('Hakediş Takip'!C7&lt;&gt;"", 'Hakediş Takip'!AZ7, "")</f>
      </c>
      <c r="BA7" s="5">
        <f>IF('Hakediş Takip'!C7&lt;&gt;"", 'Hakediş Takip'!BA7, "")</f>
      </c>
      <c r="BB7" s="5">
        <f>IF('Hakediş Takip'!C7&lt;&gt;"", 'Hakediş Takip'!BB7, "")</f>
      </c>
      <c r="BC7" s="5">
        <f ca="1">IF('Hakediş Takip'!C7&lt;&gt;"", 'Hakediş Takip'!BC7, "")</f>
      </c>
      <c r="BD7" s="5">
        <f ca="1">IF('Hakediş Takip'!C7&lt;&gt;"", 'Hakediş Takip'!BD7, "")</f>
      </c>
      <c r="BE7" s="5">
        <f>IF('Hakediş Takip'!C7&lt;&gt;"", 'Hakediş Takip'!BE7, "")</f>
      </c>
      <c r="BF7" s="5">
        <f>IF('Hakediş Takip'!C7&lt;&gt;"", 'Hakediş Takip'!BF7, "")</f>
      </c>
      <c r="BG7" s="5">
        <f ca="1">IF('Hakediş Takip'!C7&lt;&gt;"", 'Hakediş Takip'!BG7, "")</f>
      </c>
      <c r="BH7" s="5">
        <f ca="1">IF('Hakediş Takip'!C7&lt;&gt;"", 'Hakediş Takip'!BH7, "")</f>
      </c>
      <c r="BI7" s="5">
        <f>IF('Hakediş Takip'!C7&lt;&gt;"", 'Hakediş Takip'!BI7, "")</f>
      </c>
      <c r="BJ7" s="5">
        <f>IF('Hakediş Takip'!C7&lt;&gt;"", 'Hakediş Takip'!BJ7, "")</f>
      </c>
      <c r="BK7" s="5">
        <f ca="1">IF('Hakediş Takip'!C7&lt;&gt;"", 'Hakediş Takip'!BK7, "")</f>
      </c>
      <c r="BL7" s="5">
        <f ca="1">IF('Hakediş Takip'!C7&lt;&gt;"", 'Hakediş Takip'!BL7, "")</f>
      </c>
      <c r="BM7" s="5">
        <f>IF('Hakediş Takip'!C7&lt;&gt;"", 'Hakediş Takip'!BM7, "")</f>
      </c>
      <c r="BN7" s="5">
        <f>IF('Hakediş Takip'!C7&lt;&gt;"", 'Hakediş Takip'!BN7, "")</f>
      </c>
      <c r="BO7" s="5">
        <f ca="1">IF('Hakediş Takip'!C7&lt;&gt;"", 'Hakediş Takip'!BO7, "")</f>
      </c>
      <c r="BP7" s="5">
        <f ca="1">IF('Hakediş Takip'!C7&lt;&gt;"", 'Hakediş Takip'!BP7, "")</f>
      </c>
      <c r="BQ7" s="3"/>
    </row>
    <row r="8" spans="1:69" ht="19.95" customHeight="1" x14ac:dyDescent="0.3">
      <c r="A8" s="21" t="str">
        <f>IF('Hakediş Takip'!C8&lt;&gt;"", 'Hakediş Takip'!A8, "")</f>
      </c>
      <c r="B8" s="5" t="str">
        <f>IF('Hakediş Takip'!C8&lt;&gt;"", 'Hakediş Takip'!B8, "")</f>
      </c>
      <c r="C8" s="5" t="str">
        <f>IF('Hakediş Takip'!C8&lt;&gt;"", 'Hakediş Takip'!C8, "")</f>
      </c>
      <c r="D8" s="5" t="str">
        <f>IF('Hakediş Takip'!C8&lt;&gt;"", 'Hakediş Takip'!D8, "")</f>
      </c>
      <c r="E8" s="5" t="str">
        <f>IF('Hakediş Takip'!C8&lt;&gt;"", 'Hakediş Takip'!E8, "")</f>
      </c>
      <c r="F8" s="5">
        <f>IF('Hakediş Takip'!C8&lt;&gt;"", 'Hakediş Takip'!F8, "")</f>
      </c>
      <c r="G8" s="5">
        <f>IF('Hakediş Takip'!C8&lt;&gt;"", 'Hakediş Takip'!G8, "")</f>
      </c>
      <c r="H8" s="5">
        <f>IF('Hakediş Takip'!C8&lt;&gt;"", 'Hakediş Takip'!H8, "")</f>
      </c>
      <c r="I8" s="5">
        <f>IF('Hakediş Takip'!C8&lt;&gt;"", 'Hakediş Takip'!I8, "")</f>
      </c>
      <c r="J8" s="5">
        <f>IF('Hakediş Takip'!C8&lt;&gt;"", 'Hakediş Takip'!J8, "")</f>
      </c>
      <c r="K8" s="5">
        <f ca="1">IF('Hakediş Takip'!C8&lt;&gt;"", 'Hakediş Takip'!K8, "")</f>
      </c>
      <c r="L8" s="5">
        <f ca="1">IF('Hakediş Takip'!C8&lt;&gt;"", 'Hakediş Takip'!L8, "")</f>
      </c>
      <c r="M8" s="5">
        <f>IF('Hakediş Takip'!C8&lt;&gt;"", 'Hakediş Takip'!M8, "")</f>
      </c>
      <c r="N8" s="5">
        <f>IF('Hakediş Takip'!C8&lt;&gt;"", 'Hakediş Takip'!N8, "")</f>
      </c>
      <c r="O8" s="5">
        <f ca="1">IF('Hakediş Takip'!C8&lt;&gt;"", 'Hakediş Takip'!O8, "")</f>
      </c>
      <c r="P8" s="5">
        <f ca="1">IF('Hakediş Takip'!C8&lt;&gt;"", 'Hakediş Takip'!P8, "")</f>
      </c>
      <c r="Q8" s="5">
        <f>IF('Hakediş Takip'!C8&lt;&gt;"", 'Hakediş Takip'!Q8, "")</f>
      </c>
      <c r="R8" s="5">
        <f>IF('Hakediş Takip'!C8&lt;&gt;"", 'Hakediş Takip'!R8, "")</f>
      </c>
      <c r="S8" s="5">
        <f ca="1">IF('Hakediş Takip'!C8&lt;&gt;"", 'Hakediş Takip'!S8, "")</f>
      </c>
      <c r="T8" s="5">
        <f ca="1">IF('Hakediş Takip'!C8&lt;&gt;"", 'Hakediş Takip'!T8, "")</f>
      </c>
      <c r="U8" s="5">
        <f>IF('Hakediş Takip'!C8&lt;&gt;"", 'Hakediş Takip'!U8, "")</f>
      </c>
      <c r="V8" s="5">
        <f>IF('Hakediş Takip'!C8&lt;&gt;"", 'Hakediş Takip'!V8, "")</f>
      </c>
      <c r="W8" s="5">
        <f ca="1">IF('Hakediş Takip'!C8&lt;&gt;"", 'Hakediş Takip'!W8, "")</f>
      </c>
      <c r="X8" s="5">
        <f ca="1">IF('Hakediş Takip'!C8&lt;&gt;"", 'Hakediş Takip'!X8, "")</f>
      </c>
      <c r="Y8" s="5">
        <f>IF('Hakediş Takip'!C8&lt;&gt;"", 'Hakediş Takip'!Y8, "")</f>
      </c>
      <c r="Z8" s="5">
        <f>IF('Hakediş Takip'!C8&lt;&gt;"", 'Hakediş Takip'!Z8, "")</f>
      </c>
      <c r="AA8" s="5">
        <f ca="1">IF('Hakediş Takip'!C8&lt;&gt;"", 'Hakediş Takip'!AA8, "")</f>
      </c>
      <c r="AB8" s="5">
        <f ca="1">IF('Hakediş Takip'!C8&lt;&gt;"", 'Hakediş Takip'!AB8, "")</f>
      </c>
      <c r="AC8" s="5">
        <f>IF('Hakediş Takip'!C8&lt;&gt;"", 'Hakediş Takip'!AC8, "")</f>
      </c>
      <c r="AD8" s="5">
        <f>IF('Hakediş Takip'!C8&lt;&gt;"", 'Hakediş Takip'!AD8, "")</f>
      </c>
      <c r="AE8" s="5">
        <f ca="1">IF('Hakediş Takip'!C8&lt;&gt;"", 'Hakediş Takip'!AE8, "")</f>
      </c>
      <c r="AF8" s="5">
        <f ca="1">IF('Hakediş Takip'!C8&lt;&gt;"", 'Hakediş Takip'!AF8, "")</f>
      </c>
      <c r="AG8" s="5">
        <f>IF('Hakediş Takip'!C8&lt;&gt;"", 'Hakediş Takip'!AG8, "")</f>
      </c>
      <c r="AH8" s="5">
        <f>IF('Hakediş Takip'!C8&lt;&gt;"", 'Hakediş Takip'!AH8, "")</f>
      </c>
      <c r="AI8" s="5">
        <f ca="1">IF('Hakediş Takip'!C8&lt;&gt;"", 'Hakediş Takip'!AI8, "")</f>
      </c>
      <c r="AJ8" s="5">
        <f ca="1">IF('Hakediş Takip'!C8&lt;&gt;"", 'Hakediş Takip'!AJ8, "")</f>
      </c>
      <c r="AK8" s="5">
        <f>IF('Hakediş Takip'!C8&lt;&gt;"", 'Hakediş Takip'!AK8, "")</f>
      </c>
      <c r="AL8" s="5">
        <f>IF('Hakediş Takip'!C8&lt;&gt;"", 'Hakediş Takip'!AL8, "")</f>
      </c>
      <c r="AM8" s="5">
        <f ca="1">IF('Hakediş Takip'!C8&lt;&gt;"", 'Hakediş Takip'!AM8, "")</f>
      </c>
      <c r="AN8" s="5">
        <f ca="1">IF('Hakediş Takip'!C8&lt;&gt;"", 'Hakediş Takip'!AN8, "")</f>
      </c>
      <c r="AO8" s="5">
        <f>IF('Hakediş Takip'!C8&lt;&gt;"", 'Hakediş Takip'!AO8, "")</f>
      </c>
      <c r="AP8" s="5">
        <f>IF('Hakediş Takip'!C8&lt;&gt;"", 'Hakediş Takip'!AP8, "")</f>
      </c>
      <c r="AQ8" s="5">
        <f ca="1">IF('Hakediş Takip'!C8&lt;&gt;"", 'Hakediş Takip'!AQ8, "")</f>
      </c>
      <c r="AR8" s="5">
        <f ca="1">IF('Hakediş Takip'!C8&lt;&gt;"", 'Hakediş Takip'!AR8, "")</f>
      </c>
      <c r="AS8" s="5">
        <f>IF('Hakediş Takip'!C8&lt;&gt;"", 'Hakediş Takip'!AS8, "")</f>
      </c>
      <c r="AT8" s="5">
        <f>IF('Hakediş Takip'!C8&lt;&gt;"", 'Hakediş Takip'!AT8, "")</f>
      </c>
      <c r="AU8" s="5">
        <f ca="1">IF('Hakediş Takip'!C8&lt;&gt;"", 'Hakediş Takip'!AU8, "")</f>
      </c>
      <c r="AV8" s="5">
        <f ca="1">IF('Hakediş Takip'!C8&lt;&gt;"", 'Hakediş Takip'!AV8, "")</f>
      </c>
      <c r="AW8" s="5">
        <f>IF('Hakediş Takip'!C8&lt;&gt;"", 'Hakediş Takip'!AW8, "")</f>
      </c>
      <c r="AX8" s="5">
        <f>IF('Hakediş Takip'!C8&lt;&gt;"", 'Hakediş Takip'!AX8, "")</f>
      </c>
      <c r="AY8" s="5">
        <f ca="1">IF('Hakediş Takip'!C8&lt;&gt;"", 'Hakediş Takip'!AY8, "")</f>
      </c>
      <c r="AZ8" s="5">
        <f ca="1">IF('Hakediş Takip'!C8&lt;&gt;"", 'Hakediş Takip'!AZ8, "")</f>
      </c>
      <c r="BA8" s="5">
        <f>IF('Hakediş Takip'!C8&lt;&gt;"", 'Hakediş Takip'!BA8, "")</f>
      </c>
      <c r="BB8" s="5">
        <f>IF('Hakediş Takip'!C8&lt;&gt;"", 'Hakediş Takip'!BB8, "")</f>
      </c>
      <c r="BC8" s="5">
        <f ca="1">IF('Hakediş Takip'!C8&lt;&gt;"", 'Hakediş Takip'!BC8, "")</f>
      </c>
      <c r="BD8" s="5">
        <f ca="1">IF('Hakediş Takip'!C8&lt;&gt;"", 'Hakediş Takip'!BD8, "")</f>
      </c>
      <c r="BE8" s="5">
        <f>IF('Hakediş Takip'!C8&lt;&gt;"", 'Hakediş Takip'!BE8, "")</f>
      </c>
      <c r="BF8" s="5">
        <f>IF('Hakediş Takip'!C8&lt;&gt;"", 'Hakediş Takip'!BF8, "")</f>
      </c>
      <c r="BG8" s="5">
        <f ca="1">IF('Hakediş Takip'!C8&lt;&gt;"", 'Hakediş Takip'!BG8, "")</f>
      </c>
      <c r="BH8" s="5">
        <f ca="1">IF('Hakediş Takip'!C8&lt;&gt;"", 'Hakediş Takip'!BH8, "")</f>
      </c>
      <c r="BI8" s="5">
        <f>IF('Hakediş Takip'!C8&lt;&gt;"", 'Hakediş Takip'!BI8, "")</f>
      </c>
      <c r="BJ8" s="5">
        <f>IF('Hakediş Takip'!C8&lt;&gt;"", 'Hakediş Takip'!BJ8, "")</f>
      </c>
      <c r="BK8" s="5">
        <f ca="1">IF('Hakediş Takip'!C8&lt;&gt;"", 'Hakediş Takip'!BK8, "")</f>
      </c>
      <c r="BL8" s="5">
        <f ca="1">IF('Hakediş Takip'!C8&lt;&gt;"", 'Hakediş Takip'!BL8, "")</f>
      </c>
      <c r="BM8" s="5">
        <f>IF('Hakediş Takip'!C8&lt;&gt;"", 'Hakediş Takip'!BM8, "")</f>
      </c>
      <c r="BN8" s="5">
        <f>IF('Hakediş Takip'!C8&lt;&gt;"", 'Hakediş Takip'!BN8, "")</f>
      </c>
      <c r="BO8" s="5">
        <f ca="1">IF('Hakediş Takip'!C8&lt;&gt;"", 'Hakediş Takip'!BO8, "")</f>
      </c>
      <c r="BP8" s="5">
        <f ca="1">IF('Hakediş Takip'!C8&lt;&gt;"", 'Hakediş Takip'!BP8, "")</f>
      </c>
      <c r="BQ8" s="3"/>
    </row>
    <row r="9" spans="1:69" ht="19.95" customHeight="1" x14ac:dyDescent="0.3">
      <c r="A9" s="21" t="str">
        <f>IF('Hakediş Takip'!C9&lt;&gt;"", 'Hakediş Takip'!A9, "")</f>
      </c>
      <c r="B9" s="5" t="str">
        <f>IF('Hakediş Takip'!C9&lt;&gt;"", 'Hakediş Takip'!B9, "")</f>
      </c>
      <c r="C9" s="5" t="str">
        <f>IF('Hakediş Takip'!C9&lt;&gt;"", 'Hakediş Takip'!C9, "")</f>
      </c>
      <c r="D9" s="5" t="str">
        <f>IF('Hakediş Takip'!C9&lt;&gt;"", 'Hakediş Takip'!D9, "")</f>
      </c>
      <c r="E9" s="5" t="str">
        <f>IF('Hakediş Takip'!C9&lt;&gt;"", 'Hakediş Takip'!E9, "")</f>
      </c>
      <c r="F9" s="5">
        <f>IF('Hakediş Takip'!C9&lt;&gt;"", 'Hakediş Takip'!F9, "")</f>
      </c>
      <c r="G9" s="5">
        <f>IF('Hakediş Takip'!C9&lt;&gt;"", 'Hakediş Takip'!G9, "")</f>
      </c>
      <c r="H9" s="5">
        <f>IF('Hakediş Takip'!C9&lt;&gt;"", 'Hakediş Takip'!H9, "")</f>
      </c>
      <c r="I9" s="5">
        <f>IF('Hakediş Takip'!C9&lt;&gt;"", 'Hakediş Takip'!I9, "")</f>
      </c>
      <c r="J9" s="5">
        <f>IF('Hakediş Takip'!C9&lt;&gt;"", 'Hakediş Takip'!J9, "")</f>
      </c>
      <c r="K9" s="5">
        <f ca="1">IF('Hakediş Takip'!C9&lt;&gt;"", 'Hakediş Takip'!K9, "")</f>
      </c>
      <c r="L9" s="5">
        <f ca="1">IF('Hakediş Takip'!C9&lt;&gt;"", 'Hakediş Takip'!L9, "")</f>
      </c>
      <c r="M9" s="5">
        <f>IF('Hakediş Takip'!C9&lt;&gt;"", 'Hakediş Takip'!M9, "")</f>
      </c>
      <c r="N9" s="5">
        <f>IF('Hakediş Takip'!C9&lt;&gt;"", 'Hakediş Takip'!N9, "")</f>
      </c>
      <c r="O9" s="5">
        <f ca="1">IF('Hakediş Takip'!C9&lt;&gt;"", 'Hakediş Takip'!O9, "")</f>
      </c>
      <c r="P9" s="5">
        <f ca="1">IF('Hakediş Takip'!C9&lt;&gt;"", 'Hakediş Takip'!P9, "")</f>
      </c>
      <c r="Q9" s="5">
        <f>IF('Hakediş Takip'!C9&lt;&gt;"", 'Hakediş Takip'!Q9, "")</f>
      </c>
      <c r="R9" s="5">
        <f>IF('Hakediş Takip'!C9&lt;&gt;"", 'Hakediş Takip'!R9, "")</f>
      </c>
      <c r="S9" s="5">
        <f ca="1">IF('Hakediş Takip'!C9&lt;&gt;"", 'Hakediş Takip'!S9, "")</f>
      </c>
      <c r="T9" s="5">
        <f ca="1">IF('Hakediş Takip'!C9&lt;&gt;"", 'Hakediş Takip'!T9, "")</f>
      </c>
      <c r="U9" s="5">
        <f>IF('Hakediş Takip'!C9&lt;&gt;"", 'Hakediş Takip'!U9, "")</f>
      </c>
      <c r="V9" s="5">
        <f>IF('Hakediş Takip'!C9&lt;&gt;"", 'Hakediş Takip'!V9, "")</f>
      </c>
      <c r="W9" s="5">
        <f ca="1">IF('Hakediş Takip'!C9&lt;&gt;"", 'Hakediş Takip'!W9, "")</f>
      </c>
      <c r="X9" s="5">
        <f ca="1">IF('Hakediş Takip'!C9&lt;&gt;"", 'Hakediş Takip'!X9, "")</f>
      </c>
      <c r="Y9" s="5">
        <f>IF('Hakediş Takip'!C9&lt;&gt;"", 'Hakediş Takip'!Y9, "")</f>
      </c>
      <c r="Z9" s="5">
        <f>IF('Hakediş Takip'!C9&lt;&gt;"", 'Hakediş Takip'!Z9, "")</f>
      </c>
      <c r="AA9" s="5">
        <f ca="1">IF('Hakediş Takip'!C9&lt;&gt;"", 'Hakediş Takip'!AA9, "")</f>
      </c>
      <c r="AB9" s="5">
        <f ca="1">IF('Hakediş Takip'!C9&lt;&gt;"", 'Hakediş Takip'!AB9, "")</f>
      </c>
      <c r="AC9" s="5">
        <f>IF('Hakediş Takip'!C9&lt;&gt;"", 'Hakediş Takip'!AC9, "")</f>
      </c>
      <c r="AD9" s="5">
        <f>IF('Hakediş Takip'!C9&lt;&gt;"", 'Hakediş Takip'!AD9, "")</f>
      </c>
      <c r="AE9" s="5">
        <f ca="1">IF('Hakediş Takip'!C9&lt;&gt;"", 'Hakediş Takip'!AE9, "")</f>
      </c>
      <c r="AF9" s="5">
        <f ca="1">IF('Hakediş Takip'!C9&lt;&gt;"", 'Hakediş Takip'!AF9, "")</f>
      </c>
      <c r="AG9" s="5">
        <f>IF('Hakediş Takip'!C9&lt;&gt;"", 'Hakediş Takip'!AG9, "")</f>
      </c>
      <c r="AH9" s="5">
        <f>IF('Hakediş Takip'!C9&lt;&gt;"", 'Hakediş Takip'!AH9, "")</f>
      </c>
      <c r="AI9" s="5">
        <f ca="1">IF('Hakediş Takip'!C9&lt;&gt;"", 'Hakediş Takip'!AI9, "")</f>
      </c>
      <c r="AJ9" s="5">
        <f ca="1">IF('Hakediş Takip'!C9&lt;&gt;"", 'Hakediş Takip'!AJ9, "")</f>
      </c>
      <c r="AK9" s="5">
        <f>IF('Hakediş Takip'!C9&lt;&gt;"", 'Hakediş Takip'!AK9, "")</f>
      </c>
      <c r="AL9" s="5">
        <f>IF('Hakediş Takip'!C9&lt;&gt;"", 'Hakediş Takip'!AL9, "")</f>
      </c>
      <c r="AM9" s="5">
        <f ca="1">IF('Hakediş Takip'!C9&lt;&gt;"", 'Hakediş Takip'!AM9, "")</f>
      </c>
      <c r="AN9" s="5">
        <f ca="1">IF('Hakediş Takip'!C9&lt;&gt;"", 'Hakediş Takip'!AN9, "")</f>
      </c>
      <c r="AO9" s="5">
        <f>IF('Hakediş Takip'!C9&lt;&gt;"", 'Hakediş Takip'!AO9, "")</f>
      </c>
      <c r="AP9" s="5">
        <f>IF('Hakediş Takip'!C9&lt;&gt;"", 'Hakediş Takip'!AP9, "")</f>
      </c>
      <c r="AQ9" s="5">
        <f ca="1">IF('Hakediş Takip'!C9&lt;&gt;"", 'Hakediş Takip'!AQ9, "")</f>
      </c>
      <c r="AR9" s="5">
        <f ca="1">IF('Hakediş Takip'!C9&lt;&gt;"", 'Hakediş Takip'!AR9, "")</f>
      </c>
      <c r="AS9" s="5">
        <f>IF('Hakediş Takip'!C9&lt;&gt;"", 'Hakediş Takip'!AS9, "")</f>
      </c>
      <c r="AT9" s="5">
        <f>IF('Hakediş Takip'!C9&lt;&gt;"", 'Hakediş Takip'!AT9, "")</f>
      </c>
      <c r="AU9" s="5">
        <f ca="1">IF('Hakediş Takip'!C9&lt;&gt;"", 'Hakediş Takip'!AU9, "")</f>
      </c>
      <c r="AV9" s="5">
        <f ca="1">IF('Hakediş Takip'!C9&lt;&gt;"", 'Hakediş Takip'!AV9, "")</f>
      </c>
      <c r="AW9" s="5">
        <f>IF('Hakediş Takip'!C9&lt;&gt;"", 'Hakediş Takip'!AW9, "")</f>
      </c>
      <c r="AX9" s="5">
        <f>IF('Hakediş Takip'!C9&lt;&gt;"", 'Hakediş Takip'!AX9, "")</f>
      </c>
      <c r="AY9" s="5">
        <f ca="1">IF('Hakediş Takip'!C9&lt;&gt;"", 'Hakediş Takip'!AY9, "")</f>
      </c>
      <c r="AZ9" s="5">
        <f ca="1">IF('Hakediş Takip'!C9&lt;&gt;"", 'Hakediş Takip'!AZ9, "")</f>
      </c>
      <c r="BA9" s="5">
        <f>IF('Hakediş Takip'!C9&lt;&gt;"", 'Hakediş Takip'!BA9, "")</f>
      </c>
      <c r="BB9" s="5">
        <f>IF('Hakediş Takip'!C9&lt;&gt;"", 'Hakediş Takip'!BB9, "")</f>
      </c>
      <c r="BC9" s="5">
        <f ca="1">IF('Hakediş Takip'!C9&lt;&gt;"", 'Hakediş Takip'!BC9, "")</f>
      </c>
      <c r="BD9" s="5">
        <f ca="1">IF('Hakediş Takip'!C9&lt;&gt;"", 'Hakediş Takip'!BD9, "")</f>
      </c>
      <c r="BE9" s="5">
        <f>IF('Hakediş Takip'!C9&lt;&gt;"", 'Hakediş Takip'!BE9, "")</f>
      </c>
      <c r="BF9" s="5">
        <f>IF('Hakediş Takip'!C9&lt;&gt;"", 'Hakediş Takip'!BF9, "")</f>
      </c>
      <c r="BG9" s="5">
        <f ca="1">IF('Hakediş Takip'!C9&lt;&gt;"", 'Hakediş Takip'!BG9, "")</f>
      </c>
      <c r="BH9" s="5">
        <f ca="1">IF('Hakediş Takip'!C9&lt;&gt;"", 'Hakediş Takip'!BH9, "")</f>
      </c>
      <c r="BI9" s="5">
        <f>IF('Hakediş Takip'!C9&lt;&gt;"", 'Hakediş Takip'!BI9, "")</f>
      </c>
      <c r="BJ9" s="5">
        <f>IF('Hakediş Takip'!C9&lt;&gt;"", 'Hakediş Takip'!BJ9, "")</f>
      </c>
      <c r="BK9" s="5">
        <f ca="1">IF('Hakediş Takip'!C9&lt;&gt;"", 'Hakediş Takip'!BK9, "")</f>
      </c>
      <c r="BL9" s="5">
        <f ca="1">IF('Hakediş Takip'!C9&lt;&gt;"", 'Hakediş Takip'!BL9, "")</f>
      </c>
      <c r="BM9" s="5">
        <f>IF('Hakediş Takip'!C9&lt;&gt;"", 'Hakediş Takip'!BM9, "")</f>
      </c>
      <c r="BN9" s="5">
        <f>IF('Hakediş Takip'!C9&lt;&gt;"", 'Hakediş Takip'!BN9, "")</f>
      </c>
      <c r="BO9" s="5">
        <f ca="1">IF('Hakediş Takip'!C9&lt;&gt;"", 'Hakediş Takip'!BO9, "")</f>
      </c>
      <c r="BP9" s="5">
        <f ca="1">IF('Hakediş Takip'!C9&lt;&gt;"", 'Hakediş Takip'!BP9, "")</f>
      </c>
      <c r="BQ9" s="3"/>
    </row>
    <row r="10" spans="1:69" ht="19.95" customHeight="1" x14ac:dyDescent="0.3">
      <c r="A10" s="21" t="str">
        <f>IF('Hakediş Takip'!C10&lt;&gt;"", 'Hakediş Takip'!A10, "")</f>
      </c>
      <c r="B10" s="5" t="str">
        <f>IF('Hakediş Takip'!C10&lt;&gt;"", 'Hakediş Takip'!B10, "")</f>
      </c>
      <c r="C10" s="5" t="str">
        <f>IF('Hakediş Takip'!C10&lt;&gt;"", 'Hakediş Takip'!C10, "")</f>
      </c>
      <c r="D10" s="5" t="str">
        <f>IF('Hakediş Takip'!C10&lt;&gt;"", 'Hakediş Takip'!D10, "")</f>
      </c>
      <c r="E10" s="5" t="str">
        <f>IF('Hakediş Takip'!C10&lt;&gt;"", 'Hakediş Takip'!E10, "")</f>
      </c>
      <c r="F10" s="5">
        <f>IF('Hakediş Takip'!C10&lt;&gt;"", 'Hakediş Takip'!F10, "")</f>
      </c>
      <c r="G10" s="5">
        <f>IF('Hakediş Takip'!C10&lt;&gt;"", 'Hakediş Takip'!G10, "")</f>
      </c>
      <c r="H10" s="5">
        <f>IF('Hakediş Takip'!C10&lt;&gt;"", 'Hakediş Takip'!H10, "")</f>
      </c>
      <c r="I10" s="5">
        <f>IF('Hakediş Takip'!C10&lt;&gt;"", 'Hakediş Takip'!I10, "")</f>
      </c>
      <c r="J10" s="5">
        <f>IF('Hakediş Takip'!C10&lt;&gt;"", 'Hakediş Takip'!J10, "")</f>
      </c>
      <c r="K10" s="5">
        <f ca="1">IF('Hakediş Takip'!C10&lt;&gt;"", 'Hakediş Takip'!K10, "")</f>
      </c>
      <c r="L10" s="5">
        <f ca="1">IF('Hakediş Takip'!C10&lt;&gt;"", 'Hakediş Takip'!L10, "")</f>
      </c>
      <c r="M10" s="5">
        <f>IF('Hakediş Takip'!C10&lt;&gt;"", 'Hakediş Takip'!M10, "")</f>
      </c>
      <c r="N10" s="5">
        <f>IF('Hakediş Takip'!C10&lt;&gt;"", 'Hakediş Takip'!N10, "")</f>
      </c>
      <c r="O10" s="5">
        <f ca="1">IF('Hakediş Takip'!C10&lt;&gt;"", 'Hakediş Takip'!O10, "")</f>
      </c>
      <c r="P10" s="5">
        <f ca="1">IF('Hakediş Takip'!C10&lt;&gt;"", 'Hakediş Takip'!P10, "")</f>
      </c>
      <c r="Q10" s="5">
        <f>IF('Hakediş Takip'!C10&lt;&gt;"", 'Hakediş Takip'!Q10, "")</f>
      </c>
      <c r="R10" s="5">
        <f>IF('Hakediş Takip'!C10&lt;&gt;"", 'Hakediş Takip'!R10, "")</f>
      </c>
      <c r="S10" s="5">
        <f ca="1">IF('Hakediş Takip'!C10&lt;&gt;"", 'Hakediş Takip'!S10, "")</f>
      </c>
      <c r="T10" s="5">
        <f ca="1">IF('Hakediş Takip'!C10&lt;&gt;"", 'Hakediş Takip'!T10, "")</f>
      </c>
      <c r="U10" s="5">
        <f>IF('Hakediş Takip'!C10&lt;&gt;"", 'Hakediş Takip'!U10, "")</f>
      </c>
      <c r="V10" s="5">
        <f>IF('Hakediş Takip'!C10&lt;&gt;"", 'Hakediş Takip'!V10, "")</f>
      </c>
      <c r="W10" s="5">
        <f ca="1">IF('Hakediş Takip'!C10&lt;&gt;"", 'Hakediş Takip'!W10, "")</f>
      </c>
      <c r="X10" s="5">
        <f ca="1">IF('Hakediş Takip'!C10&lt;&gt;"", 'Hakediş Takip'!X10, "")</f>
      </c>
      <c r="Y10" s="5">
        <f>IF('Hakediş Takip'!C10&lt;&gt;"", 'Hakediş Takip'!Y10, "")</f>
      </c>
      <c r="Z10" s="5">
        <f>IF('Hakediş Takip'!C10&lt;&gt;"", 'Hakediş Takip'!Z10, "")</f>
      </c>
      <c r="AA10" s="5">
        <f ca="1">IF('Hakediş Takip'!C10&lt;&gt;"", 'Hakediş Takip'!AA10, "")</f>
      </c>
      <c r="AB10" s="5">
        <f ca="1">IF('Hakediş Takip'!C10&lt;&gt;"", 'Hakediş Takip'!AB10, "")</f>
      </c>
      <c r="AC10" s="5">
        <f>IF('Hakediş Takip'!C10&lt;&gt;"", 'Hakediş Takip'!AC10, "")</f>
      </c>
      <c r="AD10" s="5">
        <f>IF('Hakediş Takip'!C10&lt;&gt;"", 'Hakediş Takip'!AD10, "")</f>
      </c>
      <c r="AE10" s="5">
        <f ca="1">IF('Hakediş Takip'!C10&lt;&gt;"", 'Hakediş Takip'!AE10, "")</f>
      </c>
      <c r="AF10" s="5">
        <f ca="1">IF('Hakediş Takip'!C10&lt;&gt;"", 'Hakediş Takip'!AF10, "")</f>
      </c>
      <c r="AG10" s="5">
        <f>IF('Hakediş Takip'!C10&lt;&gt;"", 'Hakediş Takip'!AG10, "")</f>
      </c>
      <c r="AH10" s="5">
        <f>IF('Hakediş Takip'!C10&lt;&gt;"", 'Hakediş Takip'!AH10, "")</f>
      </c>
      <c r="AI10" s="5">
        <f ca="1">IF('Hakediş Takip'!C10&lt;&gt;"", 'Hakediş Takip'!AI10, "")</f>
      </c>
      <c r="AJ10" s="5">
        <f ca="1">IF('Hakediş Takip'!C10&lt;&gt;"", 'Hakediş Takip'!AJ10, "")</f>
      </c>
      <c r="AK10" s="5">
        <f>IF('Hakediş Takip'!C10&lt;&gt;"", 'Hakediş Takip'!AK10, "")</f>
      </c>
      <c r="AL10" s="5">
        <f>IF('Hakediş Takip'!C10&lt;&gt;"", 'Hakediş Takip'!AL10, "")</f>
      </c>
      <c r="AM10" s="5">
        <f ca="1">IF('Hakediş Takip'!C10&lt;&gt;"", 'Hakediş Takip'!AM10, "")</f>
      </c>
      <c r="AN10" s="5">
        <f ca="1">IF('Hakediş Takip'!C10&lt;&gt;"", 'Hakediş Takip'!AN10, "")</f>
      </c>
      <c r="AO10" s="5">
        <f>IF('Hakediş Takip'!C10&lt;&gt;"", 'Hakediş Takip'!AO10, "")</f>
      </c>
      <c r="AP10" s="5">
        <f>IF('Hakediş Takip'!C10&lt;&gt;"", 'Hakediş Takip'!AP10, "")</f>
      </c>
      <c r="AQ10" s="5">
        <f ca="1">IF('Hakediş Takip'!C10&lt;&gt;"", 'Hakediş Takip'!AQ10, "")</f>
      </c>
      <c r="AR10" s="5">
        <f ca="1">IF('Hakediş Takip'!C10&lt;&gt;"", 'Hakediş Takip'!AR10, "")</f>
      </c>
      <c r="AS10" s="5">
        <f>IF('Hakediş Takip'!C10&lt;&gt;"", 'Hakediş Takip'!AS10, "")</f>
      </c>
      <c r="AT10" s="5">
        <f>IF('Hakediş Takip'!C10&lt;&gt;"", 'Hakediş Takip'!AT10, "")</f>
      </c>
      <c r="AU10" s="5">
        <f ca="1">IF('Hakediş Takip'!C10&lt;&gt;"", 'Hakediş Takip'!AU10, "")</f>
      </c>
      <c r="AV10" s="5">
        <f ca="1">IF('Hakediş Takip'!C10&lt;&gt;"", 'Hakediş Takip'!AV10, "")</f>
      </c>
      <c r="AW10" s="5">
        <f>IF('Hakediş Takip'!C10&lt;&gt;"", 'Hakediş Takip'!AW10, "")</f>
      </c>
      <c r="AX10" s="5">
        <f>IF('Hakediş Takip'!C10&lt;&gt;"", 'Hakediş Takip'!AX10, "")</f>
      </c>
      <c r="AY10" s="5">
        <f ca="1">IF('Hakediş Takip'!C10&lt;&gt;"", 'Hakediş Takip'!AY10, "")</f>
      </c>
      <c r="AZ10" s="5">
        <f ca="1">IF('Hakediş Takip'!C10&lt;&gt;"", 'Hakediş Takip'!AZ10, "")</f>
      </c>
      <c r="BA10" s="5">
        <f>IF('Hakediş Takip'!C10&lt;&gt;"", 'Hakediş Takip'!BA10, "")</f>
      </c>
      <c r="BB10" s="5">
        <f>IF('Hakediş Takip'!C10&lt;&gt;"", 'Hakediş Takip'!BB10, "")</f>
      </c>
      <c r="BC10" s="5">
        <f ca="1">IF('Hakediş Takip'!C10&lt;&gt;"", 'Hakediş Takip'!BC10, "")</f>
      </c>
      <c r="BD10" s="5">
        <f ca="1">IF('Hakediş Takip'!C10&lt;&gt;"", 'Hakediş Takip'!BD10, "")</f>
      </c>
      <c r="BE10" s="5">
        <f>IF('Hakediş Takip'!C10&lt;&gt;"", 'Hakediş Takip'!BE10, "")</f>
      </c>
      <c r="BF10" s="5">
        <f>IF('Hakediş Takip'!C10&lt;&gt;"", 'Hakediş Takip'!BF10, "")</f>
      </c>
      <c r="BG10" s="5">
        <f ca="1">IF('Hakediş Takip'!C10&lt;&gt;"", 'Hakediş Takip'!BG10, "")</f>
      </c>
      <c r="BH10" s="5">
        <f ca="1">IF('Hakediş Takip'!C10&lt;&gt;"", 'Hakediş Takip'!BH10, "")</f>
      </c>
      <c r="BI10" s="5">
        <f>IF('Hakediş Takip'!C10&lt;&gt;"", 'Hakediş Takip'!BI10, "")</f>
      </c>
      <c r="BJ10" s="5">
        <f>IF('Hakediş Takip'!C10&lt;&gt;"", 'Hakediş Takip'!BJ10, "")</f>
      </c>
      <c r="BK10" s="5">
        <f ca="1">IF('Hakediş Takip'!C10&lt;&gt;"", 'Hakediş Takip'!BK10, "")</f>
      </c>
      <c r="BL10" s="5">
        <f ca="1">IF('Hakediş Takip'!C10&lt;&gt;"", 'Hakediş Takip'!BL10, "")</f>
      </c>
      <c r="BM10" s="5">
        <f>IF('Hakediş Takip'!C10&lt;&gt;"", 'Hakediş Takip'!BM10, "")</f>
      </c>
      <c r="BN10" s="5">
        <f>IF('Hakediş Takip'!C10&lt;&gt;"", 'Hakediş Takip'!BN10, "")</f>
      </c>
      <c r="BO10" s="5">
        <f ca="1">IF('Hakediş Takip'!C10&lt;&gt;"", 'Hakediş Takip'!BO10, "")</f>
      </c>
      <c r="BP10" s="5">
        <f ca="1">IF('Hakediş Takip'!C10&lt;&gt;"", 'Hakediş Takip'!BP10, "")</f>
      </c>
      <c r="BQ10" s="3"/>
    </row>
    <row r="11" spans="1:69" ht="19.95" customHeight="1" x14ac:dyDescent="0.3">
      <c r="A11" s="21" t="str">
        <f>IF('Hakediş Takip'!C11&lt;&gt;"", 'Hakediş Takip'!A11, "")</f>
      </c>
      <c r="B11" s="5" t="str">
        <f>IF('Hakediş Takip'!C11&lt;&gt;"", 'Hakediş Takip'!B11, "")</f>
      </c>
      <c r="C11" s="5" t="str">
        <f>IF('Hakediş Takip'!C11&lt;&gt;"", 'Hakediş Takip'!C11, "")</f>
      </c>
      <c r="D11" s="5" t="str">
        <f>IF('Hakediş Takip'!C11&lt;&gt;"", 'Hakediş Takip'!D11, "")</f>
      </c>
      <c r="E11" s="5" t="str">
        <f>IF('Hakediş Takip'!C11&lt;&gt;"", 'Hakediş Takip'!E11, "")</f>
      </c>
      <c r="F11" s="5">
        <f>IF('Hakediş Takip'!C11&lt;&gt;"", 'Hakediş Takip'!F11, "")</f>
      </c>
      <c r="G11" s="5">
        <f>IF('Hakediş Takip'!C11&lt;&gt;"", 'Hakediş Takip'!G11, "")</f>
      </c>
      <c r="H11" s="5">
        <f>IF('Hakediş Takip'!C11&lt;&gt;"", 'Hakediş Takip'!H11, "")</f>
      </c>
      <c r="I11" s="5">
        <f>IF('Hakediş Takip'!C11&lt;&gt;"", 'Hakediş Takip'!I11, "")</f>
      </c>
      <c r="J11" s="5">
        <f>IF('Hakediş Takip'!C11&lt;&gt;"", 'Hakediş Takip'!J11, "")</f>
      </c>
      <c r="K11" s="5">
        <f ca="1">IF('Hakediş Takip'!C11&lt;&gt;"", 'Hakediş Takip'!K11, "")</f>
      </c>
      <c r="L11" s="5">
        <f ca="1">IF('Hakediş Takip'!C11&lt;&gt;"", 'Hakediş Takip'!L11, "")</f>
      </c>
      <c r="M11" s="5">
        <f>IF('Hakediş Takip'!C11&lt;&gt;"", 'Hakediş Takip'!M11, "")</f>
      </c>
      <c r="N11" s="5">
        <f>IF('Hakediş Takip'!C11&lt;&gt;"", 'Hakediş Takip'!N11, "")</f>
      </c>
      <c r="O11" s="5">
        <f ca="1">IF('Hakediş Takip'!C11&lt;&gt;"", 'Hakediş Takip'!O11, "")</f>
      </c>
      <c r="P11" s="5">
        <f ca="1">IF('Hakediş Takip'!C11&lt;&gt;"", 'Hakediş Takip'!P11, "")</f>
      </c>
      <c r="Q11" s="5">
        <f>IF('Hakediş Takip'!C11&lt;&gt;"", 'Hakediş Takip'!Q11, "")</f>
      </c>
      <c r="R11" s="5">
        <f>IF('Hakediş Takip'!C11&lt;&gt;"", 'Hakediş Takip'!R11, "")</f>
      </c>
      <c r="S11" s="5">
        <f ca="1">IF('Hakediş Takip'!C11&lt;&gt;"", 'Hakediş Takip'!S11, "")</f>
      </c>
      <c r="T11" s="5">
        <f ca="1">IF('Hakediş Takip'!C11&lt;&gt;"", 'Hakediş Takip'!T11, "")</f>
      </c>
      <c r="U11" s="5">
        <f>IF('Hakediş Takip'!C11&lt;&gt;"", 'Hakediş Takip'!U11, "")</f>
      </c>
      <c r="V11" s="5">
        <f>IF('Hakediş Takip'!C11&lt;&gt;"", 'Hakediş Takip'!V11, "")</f>
      </c>
      <c r="W11" s="5">
        <f ca="1">IF('Hakediş Takip'!C11&lt;&gt;"", 'Hakediş Takip'!W11, "")</f>
      </c>
      <c r="X11" s="5">
        <f ca="1">IF('Hakediş Takip'!C11&lt;&gt;"", 'Hakediş Takip'!X11, "")</f>
      </c>
      <c r="Y11" s="5">
        <f>IF('Hakediş Takip'!C11&lt;&gt;"", 'Hakediş Takip'!Y11, "")</f>
      </c>
      <c r="Z11" s="5">
        <f>IF('Hakediş Takip'!C11&lt;&gt;"", 'Hakediş Takip'!Z11, "")</f>
      </c>
      <c r="AA11" s="5">
        <f ca="1">IF('Hakediş Takip'!C11&lt;&gt;"", 'Hakediş Takip'!AA11, "")</f>
      </c>
      <c r="AB11" s="5">
        <f ca="1">IF('Hakediş Takip'!C11&lt;&gt;"", 'Hakediş Takip'!AB11, "")</f>
      </c>
      <c r="AC11" s="5">
        <f>IF('Hakediş Takip'!C11&lt;&gt;"", 'Hakediş Takip'!AC11, "")</f>
      </c>
      <c r="AD11" s="5">
        <f>IF('Hakediş Takip'!C11&lt;&gt;"", 'Hakediş Takip'!AD11, "")</f>
      </c>
      <c r="AE11" s="5">
        <f ca="1">IF('Hakediş Takip'!C11&lt;&gt;"", 'Hakediş Takip'!AE11, "")</f>
      </c>
      <c r="AF11" s="5">
        <f ca="1">IF('Hakediş Takip'!C11&lt;&gt;"", 'Hakediş Takip'!AF11, "")</f>
      </c>
      <c r="AG11" s="5">
        <f>IF('Hakediş Takip'!C11&lt;&gt;"", 'Hakediş Takip'!AG11, "")</f>
      </c>
      <c r="AH11" s="5">
        <f>IF('Hakediş Takip'!C11&lt;&gt;"", 'Hakediş Takip'!AH11, "")</f>
      </c>
      <c r="AI11" s="5">
        <f ca="1">IF('Hakediş Takip'!C11&lt;&gt;"", 'Hakediş Takip'!AI11, "")</f>
      </c>
      <c r="AJ11" s="5">
        <f ca="1">IF('Hakediş Takip'!C11&lt;&gt;"", 'Hakediş Takip'!AJ11, "")</f>
      </c>
      <c r="AK11" s="5">
        <f>IF('Hakediş Takip'!C11&lt;&gt;"", 'Hakediş Takip'!AK11, "")</f>
      </c>
      <c r="AL11" s="5">
        <f>IF('Hakediş Takip'!C11&lt;&gt;"", 'Hakediş Takip'!AL11, "")</f>
      </c>
      <c r="AM11" s="5">
        <f ca="1">IF('Hakediş Takip'!C11&lt;&gt;"", 'Hakediş Takip'!AM11, "")</f>
      </c>
      <c r="AN11" s="5">
        <f ca="1">IF('Hakediş Takip'!C11&lt;&gt;"", 'Hakediş Takip'!AN11, "")</f>
      </c>
      <c r="AO11" s="5">
        <f>IF('Hakediş Takip'!C11&lt;&gt;"", 'Hakediş Takip'!AO11, "")</f>
      </c>
      <c r="AP11" s="5">
        <f>IF('Hakediş Takip'!C11&lt;&gt;"", 'Hakediş Takip'!AP11, "")</f>
      </c>
      <c r="AQ11" s="5">
        <f ca="1">IF('Hakediş Takip'!C11&lt;&gt;"", 'Hakediş Takip'!AQ11, "")</f>
      </c>
      <c r="AR11" s="5">
        <f ca="1">IF('Hakediş Takip'!C11&lt;&gt;"", 'Hakediş Takip'!AR11, "")</f>
      </c>
      <c r="AS11" s="5">
        <f>IF('Hakediş Takip'!C11&lt;&gt;"", 'Hakediş Takip'!AS11, "")</f>
      </c>
      <c r="AT11" s="5">
        <f>IF('Hakediş Takip'!C11&lt;&gt;"", 'Hakediş Takip'!AT11, "")</f>
      </c>
      <c r="AU11" s="5">
        <f ca="1">IF('Hakediş Takip'!C11&lt;&gt;"", 'Hakediş Takip'!AU11, "")</f>
      </c>
      <c r="AV11" s="5">
        <f ca="1">IF('Hakediş Takip'!C11&lt;&gt;"", 'Hakediş Takip'!AV11, "")</f>
      </c>
      <c r="AW11" s="5">
        <f>IF('Hakediş Takip'!C11&lt;&gt;"", 'Hakediş Takip'!AW11, "")</f>
      </c>
      <c r="AX11" s="5">
        <f>IF('Hakediş Takip'!C11&lt;&gt;"", 'Hakediş Takip'!AX11, "")</f>
      </c>
      <c r="AY11" s="5">
        <f ca="1">IF('Hakediş Takip'!C11&lt;&gt;"", 'Hakediş Takip'!AY11, "")</f>
      </c>
      <c r="AZ11" s="5">
        <f ca="1">IF('Hakediş Takip'!C11&lt;&gt;"", 'Hakediş Takip'!AZ11, "")</f>
      </c>
      <c r="BA11" s="5">
        <f>IF('Hakediş Takip'!C11&lt;&gt;"", 'Hakediş Takip'!BA11, "")</f>
      </c>
      <c r="BB11" s="5">
        <f>IF('Hakediş Takip'!C11&lt;&gt;"", 'Hakediş Takip'!BB11, "")</f>
      </c>
      <c r="BC11" s="5">
        <f ca="1">IF('Hakediş Takip'!C11&lt;&gt;"", 'Hakediş Takip'!BC11, "")</f>
      </c>
      <c r="BD11" s="5">
        <f ca="1">IF('Hakediş Takip'!C11&lt;&gt;"", 'Hakediş Takip'!BD11, "")</f>
      </c>
      <c r="BE11" s="5">
        <f>IF('Hakediş Takip'!C11&lt;&gt;"", 'Hakediş Takip'!BE11, "")</f>
      </c>
      <c r="BF11" s="5">
        <f>IF('Hakediş Takip'!C11&lt;&gt;"", 'Hakediş Takip'!BF11, "")</f>
      </c>
      <c r="BG11" s="5">
        <f ca="1">IF('Hakediş Takip'!C11&lt;&gt;"", 'Hakediş Takip'!BG11, "")</f>
      </c>
      <c r="BH11" s="5">
        <f ca="1">IF('Hakediş Takip'!C11&lt;&gt;"", 'Hakediş Takip'!BH11, "")</f>
      </c>
      <c r="BI11" s="5">
        <f>IF('Hakediş Takip'!C11&lt;&gt;"", 'Hakediş Takip'!BI11, "")</f>
      </c>
      <c r="BJ11" s="5">
        <f>IF('Hakediş Takip'!C11&lt;&gt;"", 'Hakediş Takip'!BJ11, "")</f>
      </c>
      <c r="BK11" s="5">
        <f ca="1">IF('Hakediş Takip'!C11&lt;&gt;"", 'Hakediş Takip'!BK11, "")</f>
      </c>
      <c r="BL11" s="5">
        <f ca="1">IF('Hakediş Takip'!C11&lt;&gt;"", 'Hakediş Takip'!BL11, "")</f>
      </c>
      <c r="BM11" s="5">
        <f>IF('Hakediş Takip'!C11&lt;&gt;"", 'Hakediş Takip'!BM11, "")</f>
      </c>
      <c r="BN11" s="5">
        <f>IF('Hakediş Takip'!C11&lt;&gt;"", 'Hakediş Takip'!BN11, "")</f>
      </c>
      <c r="BO11" s="5">
        <f ca="1">IF('Hakediş Takip'!C11&lt;&gt;"", 'Hakediş Takip'!BO11, "")</f>
      </c>
      <c r="BP11" s="5">
        <f ca="1">IF('Hakediş Takip'!C11&lt;&gt;"", 'Hakediş Takip'!BP11, "")</f>
      </c>
      <c r="BQ11" s="3"/>
    </row>
    <row r="12" spans="1:69" ht="19.95" customHeight="1" x14ac:dyDescent="0.3">
      <c r="A12" s="21" t="str">
        <f>IF('Hakediş Takip'!C12&lt;&gt;"", 'Hakediş Takip'!A12, "")</f>
      </c>
      <c r="B12" s="5" t="str">
        <f>IF('Hakediş Takip'!C12&lt;&gt;"", 'Hakediş Takip'!B12, "")</f>
      </c>
      <c r="C12" s="5" t="str">
        <f>IF('Hakediş Takip'!C12&lt;&gt;"", 'Hakediş Takip'!C12, "")</f>
      </c>
      <c r="D12" s="5" t="str">
        <f>IF('Hakediş Takip'!C12&lt;&gt;"", 'Hakediş Takip'!D12, "")</f>
      </c>
      <c r="E12" s="5" t="str">
        <f>IF('Hakediş Takip'!C12&lt;&gt;"", 'Hakediş Takip'!E12, "")</f>
      </c>
      <c r="F12" s="5">
        <f>IF('Hakediş Takip'!C12&lt;&gt;"", 'Hakediş Takip'!F12, "")</f>
      </c>
      <c r="G12" s="5">
        <f>IF('Hakediş Takip'!C12&lt;&gt;"", 'Hakediş Takip'!G12, "")</f>
      </c>
      <c r="H12" s="5">
        <f>IF('Hakediş Takip'!C12&lt;&gt;"", 'Hakediş Takip'!H12, "")</f>
      </c>
      <c r="I12" s="5">
        <f>IF('Hakediş Takip'!C12&lt;&gt;"", 'Hakediş Takip'!I12, "")</f>
      </c>
      <c r="J12" s="5">
        <f>IF('Hakediş Takip'!C12&lt;&gt;"", 'Hakediş Takip'!J12, "")</f>
      </c>
      <c r="K12" s="5">
        <f ca="1">IF('Hakediş Takip'!C12&lt;&gt;"", 'Hakediş Takip'!K12, "")</f>
      </c>
      <c r="L12" s="5">
        <f ca="1">IF('Hakediş Takip'!C12&lt;&gt;"", 'Hakediş Takip'!L12, "")</f>
      </c>
      <c r="M12" s="5">
        <f>IF('Hakediş Takip'!C12&lt;&gt;"", 'Hakediş Takip'!M12, "")</f>
      </c>
      <c r="N12" s="5">
        <f>IF('Hakediş Takip'!C12&lt;&gt;"", 'Hakediş Takip'!N12, "")</f>
      </c>
      <c r="O12" s="5">
        <f ca="1">IF('Hakediş Takip'!C12&lt;&gt;"", 'Hakediş Takip'!O12, "")</f>
      </c>
      <c r="P12" s="5">
        <f ca="1">IF('Hakediş Takip'!C12&lt;&gt;"", 'Hakediş Takip'!P12, "")</f>
      </c>
      <c r="Q12" s="5">
        <f>IF('Hakediş Takip'!C12&lt;&gt;"", 'Hakediş Takip'!Q12, "")</f>
      </c>
      <c r="R12" s="5">
        <f>IF('Hakediş Takip'!C12&lt;&gt;"", 'Hakediş Takip'!R12, "")</f>
      </c>
      <c r="S12" s="5">
        <f ca="1">IF('Hakediş Takip'!C12&lt;&gt;"", 'Hakediş Takip'!S12, "")</f>
      </c>
      <c r="T12" s="5">
        <f ca="1">IF('Hakediş Takip'!C12&lt;&gt;"", 'Hakediş Takip'!T12, "")</f>
      </c>
      <c r="U12" s="5">
        <f>IF('Hakediş Takip'!C12&lt;&gt;"", 'Hakediş Takip'!U12, "")</f>
      </c>
      <c r="V12" s="5">
        <f>IF('Hakediş Takip'!C12&lt;&gt;"", 'Hakediş Takip'!V12, "")</f>
      </c>
      <c r="W12" s="5">
        <f ca="1">IF('Hakediş Takip'!C12&lt;&gt;"", 'Hakediş Takip'!W12, "")</f>
      </c>
      <c r="X12" s="5">
        <f ca="1">IF('Hakediş Takip'!C12&lt;&gt;"", 'Hakediş Takip'!X12, "")</f>
      </c>
      <c r="Y12" s="5">
        <f>IF('Hakediş Takip'!C12&lt;&gt;"", 'Hakediş Takip'!Y12, "")</f>
      </c>
      <c r="Z12" s="5">
        <f>IF('Hakediş Takip'!C12&lt;&gt;"", 'Hakediş Takip'!Z12, "")</f>
      </c>
      <c r="AA12" s="5">
        <f ca="1">IF('Hakediş Takip'!C12&lt;&gt;"", 'Hakediş Takip'!AA12, "")</f>
      </c>
      <c r="AB12" s="5">
        <f ca="1">IF('Hakediş Takip'!C12&lt;&gt;"", 'Hakediş Takip'!AB12, "")</f>
      </c>
      <c r="AC12" s="5">
        <f>IF('Hakediş Takip'!C12&lt;&gt;"", 'Hakediş Takip'!AC12, "")</f>
      </c>
      <c r="AD12" s="5">
        <f>IF('Hakediş Takip'!C12&lt;&gt;"", 'Hakediş Takip'!AD12, "")</f>
      </c>
      <c r="AE12" s="5">
        <f ca="1">IF('Hakediş Takip'!C12&lt;&gt;"", 'Hakediş Takip'!AE12, "")</f>
      </c>
      <c r="AF12" s="5">
        <f ca="1">IF('Hakediş Takip'!C12&lt;&gt;"", 'Hakediş Takip'!AF12, "")</f>
      </c>
      <c r="AG12" s="5">
        <f>IF('Hakediş Takip'!C12&lt;&gt;"", 'Hakediş Takip'!AG12, "")</f>
      </c>
      <c r="AH12" s="5">
        <f>IF('Hakediş Takip'!C12&lt;&gt;"", 'Hakediş Takip'!AH12, "")</f>
      </c>
      <c r="AI12" s="5">
        <f ca="1">IF('Hakediş Takip'!C12&lt;&gt;"", 'Hakediş Takip'!AI12, "")</f>
      </c>
      <c r="AJ12" s="5">
        <f ca="1">IF('Hakediş Takip'!C12&lt;&gt;"", 'Hakediş Takip'!AJ12, "")</f>
      </c>
      <c r="AK12" s="5">
        <f>IF('Hakediş Takip'!C12&lt;&gt;"", 'Hakediş Takip'!AK12, "")</f>
      </c>
      <c r="AL12" s="5">
        <f>IF('Hakediş Takip'!C12&lt;&gt;"", 'Hakediş Takip'!AL12, "")</f>
      </c>
      <c r="AM12" s="5">
        <f ca="1">IF('Hakediş Takip'!C12&lt;&gt;"", 'Hakediş Takip'!AM12, "")</f>
      </c>
      <c r="AN12" s="5">
        <f ca="1">IF('Hakediş Takip'!C12&lt;&gt;"", 'Hakediş Takip'!AN12, "")</f>
      </c>
      <c r="AO12" s="5">
        <f>IF('Hakediş Takip'!C12&lt;&gt;"", 'Hakediş Takip'!AO12, "")</f>
      </c>
      <c r="AP12" s="5">
        <f>IF('Hakediş Takip'!C12&lt;&gt;"", 'Hakediş Takip'!AP12, "")</f>
      </c>
      <c r="AQ12" s="5">
        <f ca="1">IF('Hakediş Takip'!C12&lt;&gt;"", 'Hakediş Takip'!AQ12, "")</f>
      </c>
      <c r="AR12" s="5">
        <f ca="1">IF('Hakediş Takip'!C12&lt;&gt;"", 'Hakediş Takip'!AR12, "")</f>
      </c>
      <c r="AS12" s="5">
        <f>IF('Hakediş Takip'!C12&lt;&gt;"", 'Hakediş Takip'!AS12, "")</f>
      </c>
      <c r="AT12" s="5">
        <f>IF('Hakediş Takip'!C12&lt;&gt;"", 'Hakediş Takip'!AT12, "")</f>
      </c>
      <c r="AU12" s="5">
        <f ca="1">IF('Hakediş Takip'!C12&lt;&gt;"", 'Hakediş Takip'!AU12, "")</f>
      </c>
      <c r="AV12" s="5">
        <f ca="1">IF('Hakediş Takip'!C12&lt;&gt;"", 'Hakediş Takip'!AV12, "")</f>
      </c>
      <c r="AW12" s="5">
        <f>IF('Hakediş Takip'!C12&lt;&gt;"", 'Hakediş Takip'!AW12, "")</f>
      </c>
      <c r="AX12" s="5">
        <f>IF('Hakediş Takip'!C12&lt;&gt;"", 'Hakediş Takip'!AX12, "")</f>
      </c>
      <c r="AY12" s="5">
        <f ca="1">IF('Hakediş Takip'!C12&lt;&gt;"", 'Hakediş Takip'!AY12, "")</f>
      </c>
      <c r="AZ12" s="5">
        <f ca="1">IF('Hakediş Takip'!C12&lt;&gt;"", 'Hakediş Takip'!AZ12, "")</f>
      </c>
      <c r="BA12" s="5">
        <f>IF('Hakediş Takip'!C12&lt;&gt;"", 'Hakediş Takip'!BA12, "")</f>
      </c>
      <c r="BB12" s="5">
        <f>IF('Hakediş Takip'!C12&lt;&gt;"", 'Hakediş Takip'!BB12, "")</f>
      </c>
      <c r="BC12" s="5">
        <f ca="1">IF('Hakediş Takip'!C12&lt;&gt;"", 'Hakediş Takip'!BC12, "")</f>
      </c>
      <c r="BD12" s="5">
        <f ca="1">IF('Hakediş Takip'!C12&lt;&gt;"", 'Hakediş Takip'!BD12, "")</f>
      </c>
      <c r="BE12" s="5">
        <f>IF('Hakediş Takip'!C12&lt;&gt;"", 'Hakediş Takip'!BE12, "")</f>
      </c>
      <c r="BF12" s="5">
        <f>IF('Hakediş Takip'!C12&lt;&gt;"", 'Hakediş Takip'!BF12, "")</f>
      </c>
      <c r="BG12" s="5">
        <f ca="1">IF('Hakediş Takip'!C12&lt;&gt;"", 'Hakediş Takip'!BG12, "")</f>
      </c>
      <c r="BH12" s="5">
        <f ca="1">IF('Hakediş Takip'!C12&lt;&gt;"", 'Hakediş Takip'!BH12, "")</f>
      </c>
      <c r="BI12" s="5">
        <f>IF('Hakediş Takip'!C12&lt;&gt;"", 'Hakediş Takip'!BI12, "")</f>
      </c>
      <c r="BJ12" s="5">
        <f>IF('Hakediş Takip'!C12&lt;&gt;"", 'Hakediş Takip'!BJ12, "")</f>
      </c>
      <c r="BK12" s="5">
        <f ca="1">IF('Hakediş Takip'!C12&lt;&gt;"", 'Hakediş Takip'!BK12, "")</f>
      </c>
      <c r="BL12" s="5">
        <f ca="1">IF('Hakediş Takip'!C12&lt;&gt;"", 'Hakediş Takip'!BL12, "")</f>
      </c>
      <c r="BM12" s="5">
        <f>IF('Hakediş Takip'!C12&lt;&gt;"", 'Hakediş Takip'!BM12, "")</f>
      </c>
      <c r="BN12" s="5">
        <f>IF('Hakediş Takip'!C12&lt;&gt;"", 'Hakediş Takip'!BN12, "")</f>
      </c>
      <c r="BO12" s="5">
        <f ca="1">IF('Hakediş Takip'!C12&lt;&gt;"", 'Hakediş Takip'!BO12, "")</f>
      </c>
      <c r="BP12" s="5">
        <f ca="1">IF('Hakediş Takip'!C12&lt;&gt;"", 'Hakediş Takip'!BP12, "")</f>
      </c>
      <c r="BQ12" s="3"/>
    </row>
    <row r="13" spans="1:69" ht="19.95" customHeight="1" x14ac:dyDescent="0.3">
      <c r="A13" s="21" t="str">
        <f>IF('Hakediş Takip'!C13&lt;&gt;"", 'Hakediş Takip'!A13, "")</f>
      </c>
      <c r="B13" s="5" t="str">
        <f>IF('Hakediş Takip'!C13&lt;&gt;"", 'Hakediş Takip'!B13, "")</f>
      </c>
      <c r="C13" s="5" t="str">
        <f>IF('Hakediş Takip'!C13&lt;&gt;"", 'Hakediş Takip'!C13, "")</f>
      </c>
      <c r="D13" s="5" t="str">
        <f>IF('Hakediş Takip'!C13&lt;&gt;"", 'Hakediş Takip'!D13, "")</f>
      </c>
      <c r="E13" s="5" t="str">
        <f>IF('Hakediş Takip'!C13&lt;&gt;"", 'Hakediş Takip'!E13, "")</f>
      </c>
      <c r="F13" s="5">
        <f>IF('Hakediş Takip'!C13&lt;&gt;"", 'Hakediş Takip'!F13, "")</f>
      </c>
      <c r="G13" s="5">
        <f>IF('Hakediş Takip'!C13&lt;&gt;"", 'Hakediş Takip'!G13, "")</f>
      </c>
      <c r="H13" s="5">
        <f>IF('Hakediş Takip'!C13&lt;&gt;"", 'Hakediş Takip'!H13, "")</f>
      </c>
      <c r="I13" s="5">
        <f>IF('Hakediş Takip'!C13&lt;&gt;"", 'Hakediş Takip'!I13, "")</f>
      </c>
      <c r="J13" s="5">
        <f>IF('Hakediş Takip'!C13&lt;&gt;"", 'Hakediş Takip'!J13, "")</f>
      </c>
      <c r="K13" s="5">
        <f ca="1">IF('Hakediş Takip'!C13&lt;&gt;"", 'Hakediş Takip'!K13, "")</f>
      </c>
      <c r="L13" s="5">
        <f ca="1">IF('Hakediş Takip'!C13&lt;&gt;"", 'Hakediş Takip'!L13, "")</f>
      </c>
      <c r="M13" s="5">
        <f>IF('Hakediş Takip'!C13&lt;&gt;"", 'Hakediş Takip'!M13, "")</f>
      </c>
      <c r="N13" s="5">
        <f>IF('Hakediş Takip'!C13&lt;&gt;"", 'Hakediş Takip'!N13, "")</f>
      </c>
      <c r="O13" s="5">
        <f ca="1">IF('Hakediş Takip'!C13&lt;&gt;"", 'Hakediş Takip'!O13, "")</f>
      </c>
      <c r="P13" s="5">
        <f ca="1">IF('Hakediş Takip'!C13&lt;&gt;"", 'Hakediş Takip'!P13, "")</f>
      </c>
      <c r="Q13" s="5">
        <f>IF('Hakediş Takip'!C13&lt;&gt;"", 'Hakediş Takip'!Q13, "")</f>
      </c>
      <c r="R13" s="5">
        <f>IF('Hakediş Takip'!C13&lt;&gt;"", 'Hakediş Takip'!R13, "")</f>
      </c>
      <c r="S13" s="5">
        <f ca="1">IF('Hakediş Takip'!C13&lt;&gt;"", 'Hakediş Takip'!S13, "")</f>
      </c>
      <c r="T13" s="5">
        <f ca="1">IF('Hakediş Takip'!C13&lt;&gt;"", 'Hakediş Takip'!T13, "")</f>
      </c>
      <c r="U13" s="5">
        <f>IF('Hakediş Takip'!C13&lt;&gt;"", 'Hakediş Takip'!U13, "")</f>
      </c>
      <c r="V13" s="5">
        <f>IF('Hakediş Takip'!C13&lt;&gt;"", 'Hakediş Takip'!V13, "")</f>
      </c>
      <c r="W13" s="5">
        <f ca="1">IF('Hakediş Takip'!C13&lt;&gt;"", 'Hakediş Takip'!W13, "")</f>
      </c>
      <c r="X13" s="5">
        <f ca="1">IF('Hakediş Takip'!C13&lt;&gt;"", 'Hakediş Takip'!X13, "")</f>
      </c>
      <c r="Y13" s="5">
        <f>IF('Hakediş Takip'!C13&lt;&gt;"", 'Hakediş Takip'!Y13, "")</f>
      </c>
      <c r="Z13" s="5">
        <f>IF('Hakediş Takip'!C13&lt;&gt;"", 'Hakediş Takip'!Z13, "")</f>
      </c>
      <c r="AA13" s="5">
        <f ca="1">IF('Hakediş Takip'!C13&lt;&gt;"", 'Hakediş Takip'!AA13, "")</f>
      </c>
      <c r="AB13" s="5">
        <f ca="1">IF('Hakediş Takip'!C13&lt;&gt;"", 'Hakediş Takip'!AB13, "")</f>
      </c>
      <c r="AC13" s="5">
        <f>IF('Hakediş Takip'!C13&lt;&gt;"", 'Hakediş Takip'!AC13, "")</f>
      </c>
      <c r="AD13" s="5">
        <f>IF('Hakediş Takip'!C13&lt;&gt;"", 'Hakediş Takip'!AD13, "")</f>
      </c>
      <c r="AE13" s="5">
        <f ca="1">IF('Hakediş Takip'!C13&lt;&gt;"", 'Hakediş Takip'!AE13, "")</f>
      </c>
      <c r="AF13" s="5">
        <f ca="1">IF('Hakediş Takip'!C13&lt;&gt;"", 'Hakediş Takip'!AF13, "")</f>
      </c>
      <c r="AG13" s="5">
        <f>IF('Hakediş Takip'!C13&lt;&gt;"", 'Hakediş Takip'!AG13, "")</f>
      </c>
      <c r="AH13" s="5">
        <f>IF('Hakediş Takip'!C13&lt;&gt;"", 'Hakediş Takip'!AH13, "")</f>
      </c>
      <c r="AI13" s="5">
        <f ca="1">IF('Hakediş Takip'!C13&lt;&gt;"", 'Hakediş Takip'!AI13, "")</f>
      </c>
      <c r="AJ13" s="5">
        <f ca="1">IF('Hakediş Takip'!C13&lt;&gt;"", 'Hakediş Takip'!AJ13, "")</f>
      </c>
      <c r="AK13" s="5">
        <f>IF('Hakediş Takip'!C13&lt;&gt;"", 'Hakediş Takip'!AK13, "")</f>
      </c>
      <c r="AL13" s="5">
        <f>IF('Hakediş Takip'!C13&lt;&gt;"", 'Hakediş Takip'!AL13, "")</f>
      </c>
      <c r="AM13" s="5">
        <f ca="1">IF('Hakediş Takip'!C13&lt;&gt;"", 'Hakediş Takip'!AM13, "")</f>
      </c>
      <c r="AN13" s="5">
        <f ca="1">IF('Hakediş Takip'!C13&lt;&gt;"", 'Hakediş Takip'!AN13, "")</f>
      </c>
      <c r="AO13" s="5">
        <f>IF('Hakediş Takip'!C13&lt;&gt;"", 'Hakediş Takip'!AO13, "")</f>
      </c>
      <c r="AP13" s="5">
        <f>IF('Hakediş Takip'!C13&lt;&gt;"", 'Hakediş Takip'!AP13, "")</f>
      </c>
      <c r="AQ13" s="5">
        <f ca="1">IF('Hakediş Takip'!C13&lt;&gt;"", 'Hakediş Takip'!AQ13, "")</f>
      </c>
      <c r="AR13" s="5">
        <f ca="1">IF('Hakediş Takip'!C13&lt;&gt;"", 'Hakediş Takip'!AR13, "")</f>
      </c>
      <c r="AS13" s="5">
        <f>IF('Hakediş Takip'!C13&lt;&gt;"", 'Hakediş Takip'!AS13, "")</f>
      </c>
      <c r="AT13" s="5">
        <f>IF('Hakediş Takip'!C13&lt;&gt;"", 'Hakediş Takip'!AT13, "")</f>
      </c>
      <c r="AU13" s="5">
        <f ca="1">IF('Hakediş Takip'!C13&lt;&gt;"", 'Hakediş Takip'!AU13, "")</f>
      </c>
      <c r="AV13" s="5">
        <f ca="1">IF('Hakediş Takip'!C13&lt;&gt;"", 'Hakediş Takip'!AV13, "")</f>
      </c>
      <c r="AW13" s="5">
        <f>IF('Hakediş Takip'!C13&lt;&gt;"", 'Hakediş Takip'!AW13, "")</f>
      </c>
      <c r="AX13" s="5">
        <f>IF('Hakediş Takip'!C13&lt;&gt;"", 'Hakediş Takip'!AX13, "")</f>
      </c>
      <c r="AY13" s="5">
        <f ca="1">IF('Hakediş Takip'!C13&lt;&gt;"", 'Hakediş Takip'!AY13, "")</f>
      </c>
      <c r="AZ13" s="5">
        <f ca="1">IF('Hakediş Takip'!C13&lt;&gt;"", 'Hakediş Takip'!AZ13, "")</f>
      </c>
      <c r="BA13" s="5">
        <f>IF('Hakediş Takip'!C13&lt;&gt;"", 'Hakediş Takip'!BA13, "")</f>
      </c>
      <c r="BB13" s="5">
        <f>IF('Hakediş Takip'!C13&lt;&gt;"", 'Hakediş Takip'!BB13, "")</f>
      </c>
      <c r="BC13" s="5">
        <f ca="1">IF('Hakediş Takip'!C13&lt;&gt;"", 'Hakediş Takip'!BC13, "")</f>
      </c>
      <c r="BD13" s="5">
        <f ca="1">IF('Hakediş Takip'!C13&lt;&gt;"", 'Hakediş Takip'!BD13, "")</f>
      </c>
      <c r="BE13" s="5">
        <f>IF('Hakediş Takip'!C13&lt;&gt;"", 'Hakediş Takip'!BE13, "")</f>
      </c>
      <c r="BF13" s="5">
        <f>IF('Hakediş Takip'!C13&lt;&gt;"", 'Hakediş Takip'!BF13, "")</f>
      </c>
      <c r="BG13" s="5">
        <f ca="1">IF('Hakediş Takip'!C13&lt;&gt;"", 'Hakediş Takip'!BG13, "")</f>
      </c>
      <c r="BH13" s="5">
        <f ca="1">IF('Hakediş Takip'!C13&lt;&gt;"", 'Hakediş Takip'!BH13, "")</f>
      </c>
      <c r="BI13" s="5">
        <f>IF('Hakediş Takip'!C13&lt;&gt;"", 'Hakediş Takip'!BI13, "")</f>
      </c>
      <c r="BJ13" s="5">
        <f>IF('Hakediş Takip'!C13&lt;&gt;"", 'Hakediş Takip'!BJ13, "")</f>
      </c>
      <c r="BK13" s="5">
        <f ca="1">IF('Hakediş Takip'!C13&lt;&gt;"", 'Hakediş Takip'!BK13, "")</f>
      </c>
      <c r="BL13" s="5">
        <f ca="1">IF('Hakediş Takip'!C13&lt;&gt;"", 'Hakediş Takip'!BL13, "")</f>
      </c>
      <c r="BM13" s="5">
        <f>IF('Hakediş Takip'!C13&lt;&gt;"", 'Hakediş Takip'!BM13, "")</f>
      </c>
      <c r="BN13" s="5">
        <f>IF('Hakediş Takip'!C13&lt;&gt;"", 'Hakediş Takip'!BN13, "")</f>
      </c>
      <c r="BO13" s="5">
        <f ca="1">IF('Hakediş Takip'!C13&lt;&gt;"", 'Hakediş Takip'!BO13, "")</f>
      </c>
      <c r="BP13" s="5">
        <f ca="1">IF('Hakediş Takip'!C13&lt;&gt;"", 'Hakediş Takip'!BP13, "")</f>
      </c>
      <c r="BQ13" s="3"/>
    </row>
    <row r="14" spans="1:69" ht="19.95" customHeight="1" x14ac:dyDescent="0.3">
      <c r="A14" s="21" t="str">
        <f>IF('Hakediş Takip'!C14&lt;&gt;"", 'Hakediş Takip'!A14, "")</f>
        <v/>
      </c>
      <c r="B14" s="5" t="str">
        <f>IF('Hakediş Takip'!C14&lt;&gt;"", 'Hakediş Takip'!B14, "")</f>
        <v/>
      </c>
      <c r="C14" s="5" t="str">
        <f>IF('Hakediş Takip'!C14&lt;&gt;"", 'Hakediş Takip'!C14, "")</f>
        <v/>
      </c>
      <c r="D14" s="5" t="str">
        <f>IF('Hakediş Takip'!C14&lt;&gt;"", 'Hakediş Takip'!D14, "")</f>
        <v/>
      </c>
      <c r="E14" s="5" t="str">
        <f>IF('Hakediş Takip'!C14&lt;&gt;"", 'Hakediş Takip'!E14, "")</f>
        <v/>
      </c>
      <c r="F14" s="5" t="str">
        <f>IF('Hakediş Takip'!C14&lt;&gt;"", 'Hakediş Takip'!F14, "")</f>
        <v/>
      </c>
      <c r="G14" s="5" t="str">
        <f>IF('Hakediş Takip'!C14&lt;&gt;"", 'Hakediş Takip'!G14, "")</f>
        <v/>
      </c>
      <c r="H14" s="5" t="str">
        <f>IF('Hakediş Takip'!C14&lt;&gt;"", 'Hakediş Takip'!H14, "")</f>
        <v/>
      </c>
      <c r="I14" s="5" t="str">
        <f>IF('Hakediş Takip'!C14&lt;&gt;"", 'Hakediş Takip'!I14, "")</f>
        <v/>
      </c>
      <c r="J14" s="5" t="str">
        <f>IF('Hakediş Takip'!C14&lt;&gt;"", 'Hakediş Takip'!J14, "")</f>
        <v/>
      </c>
      <c r="K14" s="5" t="str">
        <f>IF('Hakediş Takip'!C14&lt;&gt;"", 'Hakediş Takip'!K14, "")</f>
        <v/>
      </c>
      <c r="L14" s="5" t="str">
        <f>IF('Hakediş Takip'!C14&lt;&gt;"", 'Hakediş Takip'!L14, "")</f>
        <v/>
      </c>
      <c r="M14" s="5" t="str">
        <f>IF('Hakediş Takip'!C14&lt;&gt;"", 'Hakediş Takip'!M14, "")</f>
        <v/>
      </c>
      <c r="N14" s="5" t="str">
        <f>IF('Hakediş Takip'!C14&lt;&gt;"", 'Hakediş Takip'!N14, "")</f>
        <v/>
      </c>
      <c r="O14" s="5" t="str">
        <f>IF('Hakediş Takip'!C14&lt;&gt;"", 'Hakediş Takip'!O14, "")</f>
        <v/>
      </c>
      <c r="P14" s="5" t="str">
        <f>IF('Hakediş Takip'!C14&lt;&gt;"", 'Hakediş Takip'!P14, "")</f>
        <v/>
      </c>
      <c r="Q14" s="5" t="str">
        <f>IF('Hakediş Takip'!C14&lt;&gt;"", 'Hakediş Takip'!Q14, "")</f>
        <v/>
      </c>
      <c r="R14" s="5" t="str">
        <f>IF('Hakediş Takip'!C14&lt;&gt;"", 'Hakediş Takip'!R14, "")</f>
        <v/>
      </c>
      <c r="S14" s="5" t="str">
        <f>IF('Hakediş Takip'!C14&lt;&gt;"", 'Hakediş Takip'!S14, "")</f>
        <v/>
      </c>
      <c r="T14" s="5" t="str">
        <f>IF('Hakediş Takip'!C14&lt;&gt;"", 'Hakediş Takip'!T14, "")</f>
        <v/>
      </c>
      <c r="U14" s="5" t="str">
        <f>IF('Hakediş Takip'!C14&lt;&gt;"", 'Hakediş Takip'!U14, "")</f>
        <v/>
      </c>
      <c r="V14" s="5" t="str">
        <f>IF('Hakediş Takip'!C14&lt;&gt;"", 'Hakediş Takip'!V14, "")</f>
        <v/>
      </c>
      <c r="W14" s="5" t="str">
        <f>IF('Hakediş Takip'!C14&lt;&gt;"", 'Hakediş Takip'!W14, "")</f>
        <v/>
      </c>
      <c r="X14" s="5" t="str">
        <f>IF('Hakediş Takip'!C14&lt;&gt;"", 'Hakediş Takip'!X14, "")</f>
        <v/>
      </c>
      <c r="Y14" s="5" t="str">
        <f>IF('Hakediş Takip'!C14&lt;&gt;"", 'Hakediş Takip'!Y14, "")</f>
        <v/>
      </c>
      <c r="Z14" s="5" t="str">
        <f>IF('Hakediş Takip'!C14&lt;&gt;"", 'Hakediş Takip'!Z14, "")</f>
        <v/>
      </c>
      <c r="AA14" s="5" t="str">
        <f>IF('Hakediş Takip'!C14&lt;&gt;"", 'Hakediş Takip'!AA14, "")</f>
        <v/>
      </c>
      <c r="AB14" s="5" t="str">
        <f>IF('Hakediş Takip'!C14&lt;&gt;"", 'Hakediş Takip'!AB14, "")</f>
        <v/>
      </c>
      <c r="AC14" s="5" t="str">
        <f>IF('Hakediş Takip'!C14&lt;&gt;"", 'Hakediş Takip'!AC14, "")</f>
        <v/>
      </c>
      <c r="AD14" s="5" t="str">
        <f>IF('Hakediş Takip'!C14&lt;&gt;"", 'Hakediş Takip'!AD14, "")</f>
        <v/>
      </c>
      <c r="AE14" s="5" t="str">
        <f>IF('Hakediş Takip'!C14&lt;&gt;"", 'Hakediş Takip'!AE14, "")</f>
        <v/>
      </c>
      <c r="AF14" s="5" t="str">
        <f>IF('Hakediş Takip'!C14&lt;&gt;"", 'Hakediş Takip'!AF14, "")</f>
        <v/>
      </c>
      <c r="AG14" s="5" t="str">
        <f>IF('Hakediş Takip'!C14&lt;&gt;"", 'Hakediş Takip'!AG14, "")</f>
        <v/>
      </c>
      <c r="AH14" s="5" t="str">
        <f>IF('Hakediş Takip'!C14&lt;&gt;"", 'Hakediş Takip'!AH14, "")</f>
        <v/>
      </c>
      <c r="AI14" s="5" t="str">
        <f>IF('Hakediş Takip'!C14&lt;&gt;"", 'Hakediş Takip'!AI14, "")</f>
        <v/>
      </c>
      <c r="AJ14" s="5" t="str">
        <f>IF('Hakediş Takip'!C14&lt;&gt;"", 'Hakediş Takip'!AJ14, "")</f>
        <v/>
      </c>
      <c r="AK14" s="5" t="str">
        <f>IF('Hakediş Takip'!C14&lt;&gt;"", 'Hakediş Takip'!AK14, "")</f>
        <v/>
      </c>
      <c r="AL14" s="5" t="str">
        <f>IF('Hakediş Takip'!C14&lt;&gt;"", 'Hakediş Takip'!AL14, "")</f>
        <v/>
      </c>
      <c r="AM14" s="5" t="str">
        <f>IF('Hakediş Takip'!C14&lt;&gt;"", 'Hakediş Takip'!AM14, "")</f>
        <v/>
      </c>
      <c r="AN14" s="5" t="str">
        <f>IF('Hakediş Takip'!C14&lt;&gt;"", 'Hakediş Takip'!AN14, "")</f>
        <v/>
      </c>
      <c r="AO14" s="5" t="str">
        <f>IF('Hakediş Takip'!C14&lt;&gt;"", 'Hakediş Takip'!AO14, "")</f>
        <v/>
      </c>
      <c r="AP14" s="5" t="str">
        <f>IF('Hakediş Takip'!C14&lt;&gt;"", 'Hakediş Takip'!AP14, "")</f>
        <v/>
      </c>
      <c r="AQ14" s="5" t="str">
        <f>IF('Hakediş Takip'!C14&lt;&gt;"", 'Hakediş Takip'!AQ14, "")</f>
        <v/>
      </c>
      <c r="AR14" s="5" t="str">
        <f>IF('Hakediş Takip'!C14&lt;&gt;"", 'Hakediş Takip'!AR14, "")</f>
        <v/>
      </c>
      <c r="AS14" s="5" t="str">
        <f>IF('Hakediş Takip'!C14&lt;&gt;"", 'Hakediş Takip'!AS14, "")</f>
        <v/>
      </c>
      <c r="AT14" s="5" t="str">
        <f>IF('Hakediş Takip'!C14&lt;&gt;"", 'Hakediş Takip'!AT14, "")</f>
        <v/>
      </c>
      <c r="AU14" s="5" t="str">
        <f>IF('Hakediş Takip'!C14&lt;&gt;"", 'Hakediş Takip'!AU14, "")</f>
        <v/>
      </c>
      <c r="AV14" s="5" t="str">
        <f>IF('Hakediş Takip'!C14&lt;&gt;"", 'Hakediş Takip'!AV14, "")</f>
        <v/>
      </c>
      <c r="AW14" s="5" t="str">
        <f>IF('Hakediş Takip'!C14&lt;&gt;"", 'Hakediş Takip'!AW14, "")</f>
        <v/>
      </c>
      <c r="AX14" s="5" t="str">
        <f>IF('Hakediş Takip'!C14&lt;&gt;"", 'Hakediş Takip'!AX14, "")</f>
        <v/>
      </c>
      <c r="AY14" s="5" t="str">
        <f>IF('Hakediş Takip'!C14&lt;&gt;"", 'Hakediş Takip'!AY14, "")</f>
        <v/>
      </c>
      <c r="AZ14" s="5" t="str">
        <f>IF('Hakediş Takip'!C14&lt;&gt;"", 'Hakediş Takip'!AZ14, "")</f>
        <v/>
      </c>
      <c r="BA14" s="5" t="str">
        <f>IF('Hakediş Takip'!C14&lt;&gt;"", 'Hakediş Takip'!BA14, "")</f>
        <v/>
      </c>
      <c r="BB14" s="5" t="str">
        <f>IF('Hakediş Takip'!C14&lt;&gt;"", 'Hakediş Takip'!BB14, "")</f>
        <v/>
      </c>
      <c r="BC14" s="5" t="str">
        <f>IF('Hakediş Takip'!C14&lt;&gt;"", 'Hakediş Takip'!BC14, "")</f>
        <v/>
      </c>
      <c r="BD14" s="5" t="str">
        <f>IF('Hakediş Takip'!C14&lt;&gt;"", 'Hakediş Takip'!BD14, "")</f>
        <v/>
      </c>
      <c r="BE14" s="5" t="str">
        <f>IF('Hakediş Takip'!C14&lt;&gt;"", 'Hakediş Takip'!BE14, "")</f>
        <v/>
      </c>
      <c r="BF14" s="5" t="str">
        <f>IF('Hakediş Takip'!C14&lt;&gt;"", 'Hakediş Takip'!BF14, "")</f>
        <v/>
      </c>
      <c r="BG14" s="5" t="str">
        <f>IF('Hakediş Takip'!C14&lt;&gt;"", 'Hakediş Takip'!BG14, "")</f>
        <v/>
      </c>
      <c r="BH14" s="5" t="str">
        <f>IF('Hakediş Takip'!C14&lt;&gt;"", 'Hakediş Takip'!BH14, "")</f>
        <v/>
      </c>
      <c r="BI14" s="5" t="str">
        <f>IF('Hakediş Takip'!C14&lt;&gt;"", 'Hakediş Takip'!BI14, "")</f>
        <v/>
      </c>
      <c r="BJ14" s="5" t="str">
        <f>IF('Hakediş Takip'!C14&lt;&gt;"", 'Hakediş Takip'!BJ14, "")</f>
        <v/>
      </c>
      <c r="BK14" s="5" t="str">
        <f>IF('Hakediş Takip'!C14&lt;&gt;"", 'Hakediş Takip'!BK14, "")</f>
        <v/>
      </c>
      <c r="BL14" s="5" t="str">
        <f>IF('Hakediş Takip'!C14&lt;&gt;"", 'Hakediş Takip'!BL14, "")</f>
        <v/>
      </c>
      <c r="BM14" s="5" t="str">
        <f>IF('Hakediş Takip'!C14&lt;&gt;"", 'Hakediş Takip'!BM14, "")</f>
        <v/>
      </c>
      <c r="BN14" s="5" t="str">
        <f>IF('Hakediş Takip'!C14&lt;&gt;"", 'Hakediş Takip'!BN14, "")</f>
        <v/>
      </c>
      <c r="BO14" s="5" t="str">
        <f>IF('Hakediş Takip'!C14&lt;&gt;"", 'Hakediş Takip'!BO14, "")</f>
        <v/>
      </c>
      <c r="BP14" s="5" t="str">
        <f>IF('Hakediş Takip'!C14&lt;&gt;"", 'Hakediş Takip'!BP14, "")</f>
        <v/>
      </c>
      <c r="BQ14" s="3"/>
    </row>
    <row r="15" spans="1:69" ht="19.95" customHeight="1" x14ac:dyDescent="0.3">
      <c r="A15" s="21" t="str">
        <f>IF('Hakediş Takip'!C15&lt;&gt;"", 'Hakediş Takip'!A15, "")</f>
        <v/>
      </c>
      <c r="B15" s="5" t="str">
        <f>IF('Hakediş Takip'!C15&lt;&gt;"", 'Hakediş Takip'!B15, "")</f>
        <v/>
      </c>
      <c r="C15" s="5" t="str">
        <f>IF('Hakediş Takip'!C15&lt;&gt;"", 'Hakediş Takip'!C15, "")</f>
        <v/>
      </c>
      <c r="D15" s="5" t="str">
        <f>IF('Hakediş Takip'!C15&lt;&gt;"", 'Hakediş Takip'!D15, "")</f>
        <v/>
      </c>
      <c r="E15" s="5" t="str">
        <f>IF('Hakediş Takip'!C15&lt;&gt;"", 'Hakediş Takip'!E15, "")</f>
        <v/>
      </c>
      <c r="F15" s="5" t="str">
        <f>IF('Hakediş Takip'!C15&lt;&gt;"", 'Hakediş Takip'!F15, "")</f>
        <v/>
      </c>
      <c r="G15" s="5" t="str">
        <f>IF('Hakediş Takip'!C15&lt;&gt;"", 'Hakediş Takip'!G15, "")</f>
        <v/>
      </c>
      <c r="H15" s="5" t="str">
        <f>IF('Hakediş Takip'!C15&lt;&gt;"", 'Hakediş Takip'!H15, "")</f>
        <v/>
      </c>
      <c r="I15" s="5" t="str">
        <f>IF('Hakediş Takip'!C15&lt;&gt;"", 'Hakediş Takip'!I15, "")</f>
        <v/>
      </c>
      <c r="J15" s="5" t="str">
        <f>IF('Hakediş Takip'!C15&lt;&gt;"", 'Hakediş Takip'!J15, "")</f>
        <v/>
      </c>
      <c r="K15" s="5" t="str">
        <f>IF('Hakediş Takip'!C15&lt;&gt;"", 'Hakediş Takip'!K15, "")</f>
        <v/>
      </c>
      <c r="L15" s="5" t="str">
        <f>IF('Hakediş Takip'!C15&lt;&gt;"", 'Hakediş Takip'!L15, "")</f>
        <v/>
      </c>
      <c r="M15" s="5" t="str">
        <f>IF('Hakediş Takip'!C15&lt;&gt;"", 'Hakediş Takip'!M15, "")</f>
        <v/>
      </c>
      <c r="N15" s="5" t="str">
        <f>IF('Hakediş Takip'!C15&lt;&gt;"", 'Hakediş Takip'!N15, "")</f>
        <v/>
      </c>
      <c r="O15" s="5" t="str">
        <f>IF('Hakediş Takip'!C15&lt;&gt;"", 'Hakediş Takip'!O15, "")</f>
        <v/>
      </c>
      <c r="P15" s="5" t="str">
        <f>IF('Hakediş Takip'!C15&lt;&gt;"", 'Hakediş Takip'!P15, "")</f>
        <v/>
      </c>
      <c r="Q15" s="5" t="str">
        <f>IF('Hakediş Takip'!C15&lt;&gt;"", 'Hakediş Takip'!Q15, "")</f>
        <v/>
      </c>
      <c r="R15" s="5" t="str">
        <f>IF('Hakediş Takip'!C15&lt;&gt;"", 'Hakediş Takip'!R15, "")</f>
        <v/>
      </c>
      <c r="S15" s="5" t="str">
        <f>IF('Hakediş Takip'!C15&lt;&gt;"", 'Hakediş Takip'!S15, "")</f>
        <v/>
      </c>
      <c r="T15" s="5" t="str">
        <f>IF('Hakediş Takip'!C15&lt;&gt;"", 'Hakediş Takip'!T15, "")</f>
        <v/>
      </c>
      <c r="U15" s="5" t="str">
        <f>IF('Hakediş Takip'!C15&lt;&gt;"", 'Hakediş Takip'!U15, "")</f>
        <v/>
      </c>
      <c r="V15" s="5" t="str">
        <f>IF('Hakediş Takip'!C15&lt;&gt;"", 'Hakediş Takip'!V15, "")</f>
        <v/>
      </c>
      <c r="W15" s="5" t="str">
        <f>IF('Hakediş Takip'!C15&lt;&gt;"", 'Hakediş Takip'!W15, "")</f>
        <v/>
      </c>
      <c r="X15" s="5" t="str">
        <f>IF('Hakediş Takip'!C15&lt;&gt;"", 'Hakediş Takip'!X15, "")</f>
        <v/>
      </c>
      <c r="Y15" s="5" t="str">
        <f>IF('Hakediş Takip'!C15&lt;&gt;"", 'Hakediş Takip'!Y15, "")</f>
        <v/>
      </c>
      <c r="Z15" s="5" t="str">
        <f>IF('Hakediş Takip'!C15&lt;&gt;"", 'Hakediş Takip'!Z15, "")</f>
        <v/>
      </c>
      <c r="AA15" s="5" t="str">
        <f>IF('Hakediş Takip'!C15&lt;&gt;"", 'Hakediş Takip'!AA15, "")</f>
        <v/>
      </c>
      <c r="AB15" s="5" t="str">
        <f>IF('Hakediş Takip'!C15&lt;&gt;"", 'Hakediş Takip'!AB15, "")</f>
        <v/>
      </c>
      <c r="AC15" s="5" t="str">
        <f>IF('Hakediş Takip'!C15&lt;&gt;"", 'Hakediş Takip'!AC15, "")</f>
        <v/>
      </c>
      <c r="AD15" s="5" t="str">
        <f>IF('Hakediş Takip'!C15&lt;&gt;"", 'Hakediş Takip'!AD15, "")</f>
        <v/>
      </c>
      <c r="AE15" s="5" t="str">
        <f>IF('Hakediş Takip'!C15&lt;&gt;"", 'Hakediş Takip'!AE15, "")</f>
        <v/>
      </c>
      <c r="AF15" s="5" t="str">
        <f>IF('Hakediş Takip'!C15&lt;&gt;"", 'Hakediş Takip'!AF15, "")</f>
        <v/>
      </c>
      <c r="AG15" s="5" t="str">
        <f>IF('Hakediş Takip'!C15&lt;&gt;"", 'Hakediş Takip'!AG15, "")</f>
        <v/>
      </c>
      <c r="AH15" s="5" t="str">
        <f>IF('Hakediş Takip'!C15&lt;&gt;"", 'Hakediş Takip'!AH15, "")</f>
        <v/>
      </c>
      <c r="AI15" s="5" t="str">
        <f>IF('Hakediş Takip'!C15&lt;&gt;"", 'Hakediş Takip'!AI15, "")</f>
        <v/>
      </c>
      <c r="AJ15" s="5" t="str">
        <f>IF('Hakediş Takip'!C15&lt;&gt;"", 'Hakediş Takip'!AJ15, "")</f>
        <v/>
      </c>
      <c r="AK15" s="5" t="str">
        <f>IF('Hakediş Takip'!C15&lt;&gt;"", 'Hakediş Takip'!AK15, "")</f>
        <v/>
      </c>
      <c r="AL15" s="5" t="str">
        <f>IF('Hakediş Takip'!C15&lt;&gt;"", 'Hakediş Takip'!AL15, "")</f>
        <v/>
      </c>
      <c r="AM15" s="5" t="str">
        <f>IF('Hakediş Takip'!C15&lt;&gt;"", 'Hakediş Takip'!AM15, "")</f>
        <v/>
      </c>
      <c r="AN15" s="5" t="str">
        <f>IF('Hakediş Takip'!C15&lt;&gt;"", 'Hakediş Takip'!AN15, "")</f>
        <v/>
      </c>
      <c r="AO15" s="5" t="str">
        <f>IF('Hakediş Takip'!C15&lt;&gt;"", 'Hakediş Takip'!AO15, "")</f>
        <v/>
      </c>
      <c r="AP15" s="5" t="str">
        <f>IF('Hakediş Takip'!C15&lt;&gt;"", 'Hakediş Takip'!AP15, "")</f>
        <v/>
      </c>
      <c r="AQ15" s="5" t="str">
        <f>IF('Hakediş Takip'!C15&lt;&gt;"", 'Hakediş Takip'!AQ15, "")</f>
        <v/>
      </c>
      <c r="AR15" s="5" t="str">
        <f>IF('Hakediş Takip'!C15&lt;&gt;"", 'Hakediş Takip'!AR15, "")</f>
        <v/>
      </c>
      <c r="AS15" s="5" t="str">
        <f>IF('Hakediş Takip'!C15&lt;&gt;"", 'Hakediş Takip'!AS15, "")</f>
        <v/>
      </c>
      <c r="AT15" s="5" t="str">
        <f>IF('Hakediş Takip'!C15&lt;&gt;"", 'Hakediş Takip'!AT15, "")</f>
        <v/>
      </c>
      <c r="AU15" s="5" t="str">
        <f>IF('Hakediş Takip'!C15&lt;&gt;"", 'Hakediş Takip'!AU15, "")</f>
        <v/>
      </c>
      <c r="AV15" s="5" t="str">
        <f>IF('Hakediş Takip'!C15&lt;&gt;"", 'Hakediş Takip'!AV15, "")</f>
        <v/>
      </c>
      <c r="AW15" s="5" t="str">
        <f>IF('Hakediş Takip'!C15&lt;&gt;"", 'Hakediş Takip'!AW15, "")</f>
        <v/>
      </c>
      <c r="AX15" s="5" t="str">
        <f>IF('Hakediş Takip'!C15&lt;&gt;"", 'Hakediş Takip'!AX15, "")</f>
        <v/>
      </c>
      <c r="AY15" s="5" t="str">
        <f>IF('Hakediş Takip'!C15&lt;&gt;"", 'Hakediş Takip'!AY15, "")</f>
        <v/>
      </c>
      <c r="AZ15" s="5" t="str">
        <f>IF('Hakediş Takip'!C15&lt;&gt;"", 'Hakediş Takip'!AZ15, "")</f>
        <v/>
      </c>
      <c r="BA15" s="5" t="str">
        <f>IF('Hakediş Takip'!C15&lt;&gt;"", 'Hakediş Takip'!BA15, "")</f>
        <v/>
      </c>
      <c r="BB15" s="5" t="str">
        <f>IF('Hakediş Takip'!C15&lt;&gt;"", 'Hakediş Takip'!BB15, "")</f>
        <v/>
      </c>
      <c r="BC15" s="5" t="str">
        <f>IF('Hakediş Takip'!C15&lt;&gt;"", 'Hakediş Takip'!BC15, "")</f>
        <v/>
      </c>
      <c r="BD15" s="5" t="str">
        <f>IF('Hakediş Takip'!C15&lt;&gt;"", 'Hakediş Takip'!BD15, "")</f>
        <v/>
      </c>
      <c r="BE15" s="5" t="str">
        <f>IF('Hakediş Takip'!C15&lt;&gt;"", 'Hakediş Takip'!BE15, "")</f>
        <v/>
      </c>
      <c r="BF15" s="5" t="str">
        <f>IF('Hakediş Takip'!C15&lt;&gt;"", 'Hakediş Takip'!BF15, "")</f>
        <v/>
      </c>
      <c r="BG15" s="5" t="str">
        <f>IF('Hakediş Takip'!C15&lt;&gt;"", 'Hakediş Takip'!BG15, "")</f>
        <v/>
      </c>
      <c r="BH15" s="5" t="str">
        <f>IF('Hakediş Takip'!C15&lt;&gt;"", 'Hakediş Takip'!BH15, "")</f>
        <v/>
      </c>
      <c r="BI15" s="5" t="str">
        <f>IF('Hakediş Takip'!C15&lt;&gt;"", 'Hakediş Takip'!BI15, "")</f>
        <v/>
      </c>
      <c r="BJ15" s="5" t="str">
        <f>IF('Hakediş Takip'!C15&lt;&gt;"", 'Hakediş Takip'!BJ15, "")</f>
        <v/>
      </c>
      <c r="BK15" s="5" t="str">
        <f>IF('Hakediş Takip'!C15&lt;&gt;"", 'Hakediş Takip'!BK15, "")</f>
        <v/>
      </c>
      <c r="BL15" s="5" t="str">
        <f>IF('Hakediş Takip'!C15&lt;&gt;"", 'Hakediş Takip'!BL15, "")</f>
        <v/>
      </c>
      <c r="BM15" s="5" t="str">
        <f>IF('Hakediş Takip'!C15&lt;&gt;"", 'Hakediş Takip'!BM15, "")</f>
        <v/>
      </c>
      <c r="BN15" s="5" t="str">
        <f>IF('Hakediş Takip'!C15&lt;&gt;"", 'Hakediş Takip'!BN15, "")</f>
        <v/>
      </c>
      <c r="BO15" s="5" t="str">
        <f>IF('Hakediş Takip'!C15&lt;&gt;"", 'Hakediş Takip'!BO15, "")</f>
        <v/>
      </c>
      <c r="BP15" s="5" t="str">
        <f>IF('Hakediş Takip'!C15&lt;&gt;"", 'Hakediş Takip'!BP15, "")</f>
        <v/>
      </c>
      <c r="BQ15" s="3"/>
    </row>
    <row r="16" spans="1:69" ht="19.95" customHeight="1" x14ac:dyDescent="0.3">
      <c r="A16" s="21" t="str">
        <f>IF('Hakediş Takip'!C16&lt;&gt;"", 'Hakediş Takip'!A16, "")</f>
        <v/>
      </c>
      <c r="B16" s="5" t="str">
        <f>IF('Hakediş Takip'!C16&lt;&gt;"", 'Hakediş Takip'!B16, "")</f>
        <v/>
      </c>
      <c r="C16" s="5" t="str">
        <f>IF('Hakediş Takip'!C16&lt;&gt;"", 'Hakediş Takip'!C16, "")</f>
        <v/>
      </c>
      <c r="D16" s="5" t="str">
        <f>IF('Hakediş Takip'!C16&lt;&gt;"", 'Hakediş Takip'!D16, "")</f>
        <v/>
      </c>
      <c r="E16" s="5" t="str">
        <f>IF('Hakediş Takip'!C16&lt;&gt;"", 'Hakediş Takip'!E16, "")</f>
        <v/>
      </c>
      <c r="F16" s="5" t="str">
        <f>IF('Hakediş Takip'!C16&lt;&gt;"", 'Hakediş Takip'!F16, "")</f>
        <v/>
      </c>
      <c r="G16" s="5" t="str">
        <f>IF('Hakediş Takip'!C16&lt;&gt;"", 'Hakediş Takip'!G16, "")</f>
        <v/>
      </c>
      <c r="H16" s="5" t="str">
        <f>IF('Hakediş Takip'!C16&lt;&gt;"", 'Hakediş Takip'!H16, "")</f>
        <v/>
      </c>
      <c r="I16" s="5" t="str">
        <f>IF('Hakediş Takip'!C16&lt;&gt;"", 'Hakediş Takip'!I16, "")</f>
        <v/>
      </c>
      <c r="J16" s="5" t="str">
        <f>IF('Hakediş Takip'!C16&lt;&gt;"", 'Hakediş Takip'!J16, "")</f>
        <v/>
      </c>
      <c r="K16" s="5" t="str">
        <f>IF('Hakediş Takip'!C16&lt;&gt;"", 'Hakediş Takip'!K16, "")</f>
        <v/>
      </c>
      <c r="L16" s="5" t="str">
        <f>IF('Hakediş Takip'!C16&lt;&gt;"", 'Hakediş Takip'!L16, "")</f>
        <v/>
      </c>
      <c r="M16" s="5" t="str">
        <f>IF('Hakediş Takip'!C16&lt;&gt;"", 'Hakediş Takip'!M16, "")</f>
        <v/>
      </c>
      <c r="N16" s="5" t="str">
        <f>IF('Hakediş Takip'!C16&lt;&gt;"", 'Hakediş Takip'!N16, "")</f>
        <v/>
      </c>
      <c r="O16" s="5" t="str">
        <f>IF('Hakediş Takip'!C16&lt;&gt;"", 'Hakediş Takip'!O16, "")</f>
        <v/>
      </c>
      <c r="P16" s="5" t="str">
        <f>IF('Hakediş Takip'!C16&lt;&gt;"", 'Hakediş Takip'!P16, "")</f>
        <v/>
      </c>
      <c r="Q16" s="5" t="str">
        <f>IF('Hakediş Takip'!C16&lt;&gt;"", 'Hakediş Takip'!Q16, "")</f>
        <v/>
      </c>
      <c r="R16" s="5" t="str">
        <f>IF('Hakediş Takip'!C16&lt;&gt;"", 'Hakediş Takip'!R16, "")</f>
        <v/>
      </c>
      <c r="S16" s="5" t="str">
        <f>IF('Hakediş Takip'!C16&lt;&gt;"", 'Hakediş Takip'!S16, "")</f>
        <v/>
      </c>
      <c r="T16" s="5" t="str">
        <f>IF('Hakediş Takip'!C16&lt;&gt;"", 'Hakediş Takip'!T16, "")</f>
        <v/>
      </c>
      <c r="U16" s="5" t="str">
        <f>IF('Hakediş Takip'!C16&lt;&gt;"", 'Hakediş Takip'!U16, "")</f>
        <v/>
      </c>
      <c r="V16" s="5" t="str">
        <f>IF('Hakediş Takip'!C16&lt;&gt;"", 'Hakediş Takip'!V16, "")</f>
        <v/>
      </c>
      <c r="W16" s="5" t="str">
        <f>IF('Hakediş Takip'!C16&lt;&gt;"", 'Hakediş Takip'!W16, "")</f>
        <v/>
      </c>
      <c r="X16" s="5" t="str">
        <f>IF('Hakediş Takip'!C16&lt;&gt;"", 'Hakediş Takip'!X16, "")</f>
        <v/>
      </c>
      <c r="Y16" s="5" t="str">
        <f>IF('Hakediş Takip'!C16&lt;&gt;"", 'Hakediş Takip'!Y16, "")</f>
        <v/>
      </c>
      <c r="Z16" s="5" t="str">
        <f>IF('Hakediş Takip'!C16&lt;&gt;"", 'Hakediş Takip'!Z16, "")</f>
        <v/>
      </c>
      <c r="AA16" s="5" t="str">
        <f>IF('Hakediş Takip'!C16&lt;&gt;"", 'Hakediş Takip'!AA16, "")</f>
        <v/>
      </c>
      <c r="AB16" s="5" t="str">
        <f>IF('Hakediş Takip'!C16&lt;&gt;"", 'Hakediş Takip'!AB16, "")</f>
        <v/>
      </c>
      <c r="AC16" s="5" t="str">
        <f>IF('Hakediş Takip'!C16&lt;&gt;"", 'Hakediş Takip'!AC16, "")</f>
        <v/>
      </c>
      <c r="AD16" s="5" t="str">
        <f>IF('Hakediş Takip'!C16&lt;&gt;"", 'Hakediş Takip'!AD16, "")</f>
        <v/>
      </c>
      <c r="AE16" s="5" t="str">
        <f>IF('Hakediş Takip'!C16&lt;&gt;"", 'Hakediş Takip'!AE16, "")</f>
        <v/>
      </c>
      <c r="AF16" s="5" t="str">
        <f>IF('Hakediş Takip'!C16&lt;&gt;"", 'Hakediş Takip'!AF16, "")</f>
        <v/>
      </c>
      <c r="AG16" s="5" t="str">
        <f>IF('Hakediş Takip'!C16&lt;&gt;"", 'Hakediş Takip'!AG16, "")</f>
        <v/>
      </c>
      <c r="AH16" s="5" t="str">
        <f>IF('Hakediş Takip'!C16&lt;&gt;"", 'Hakediş Takip'!AH16, "")</f>
        <v/>
      </c>
      <c r="AI16" s="5" t="str">
        <f>IF('Hakediş Takip'!C16&lt;&gt;"", 'Hakediş Takip'!AI16, "")</f>
        <v/>
      </c>
      <c r="AJ16" s="5" t="str">
        <f>IF('Hakediş Takip'!C16&lt;&gt;"", 'Hakediş Takip'!AJ16, "")</f>
        <v/>
      </c>
      <c r="AK16" s="5" t="str">
        <f>IF('Hakediş Takip'!C16&lt;&gt;"", 'Hakediş Takip'!AK16, "")</f>
        <v/>
      </c>
      <c r="AL16" s="5" t="str">
        <f>IF('Hakediş Takip'!C16&lt;&gt;"", 'Hakediş Takip'!AL16, "")</f>
        <v/>
      </c>
      <c r="AM16" s="5" t="str">
        <f>IF('Hakediş Takip'!C16&lt;&gt;"", 'Hakediş Takip'!AM16, "")</f>
        <v/>
      </c>
      <c r="AN16" s="5" t="str">
        <f>IF('Hakediş Takip'!C16&lt;&gt;"", 'Hakediş Takip'!AN16, "")</f>
        <v/>
      </c>
      <c r="AO16" s="5" t="str">
        <f>IF('Hakediş Takip'!C16&lt;&gt;"", 'Hakediş Takip'!AO16, "")</f>
        <v/>
      </c>
      <c r="AP16" s="5" t="str">
        <f>IF('Hakediş Takip'!C16&lt;&gt;"", 'Hakediş Takip'!AP16, "")</f>
        <v/>
      </c>
      <c r="AQ16" s="5" t="str">
        <f>IF('Hakediş Takip'!C16&lt;&gt;"", 'Hakediş Takip'!AQ16, "")</f>
        <v/>
      </c>
      <c r="AR16" s="5" t="str">
        <f>IF('Hakediş Takip'!C16&lt;&gt;"", 'Hakediş Takip'!AR16, "")</f>
        <v/>
      </c>
      <c r="AS16" s="5" t="str">
        <f>IF('Hakediş Takip'!C16&lt;&gt;"", 'Hakediş Takip'!AS16, "")</f>
        <v/>
      </c>
      <c r="AT16" s="5" t="str">
        <f>IF('Hakediş Takip'!C16&lt;&gt;"", 'Hakediş Takip'!AT16, "")</f>
        <v/>
      </c>
      <c r="AU16" s="5" t="str">
        <f>IF('Hakediş Takip'!C16&lt;&gt;"", 'Hakediş Takip'!AU16, "")</f>
        <v/>
      </c>
      <c r="AV16" s="5" t="str">
        <f>IF('Hakediş Takip'!C16&lt;&gt;"", 'Hakediş Takip'!AV16, "")</f>
        <v/>
      </c>
      <c r="AW16" s="5" t="str">
        <f>IF('Hakediş Takip'!C16&lt;&gt;"", 'Hakediş Takip'!AW16, "")</f>
        <v/>
      </c>
      <c r="AX16" s="5" t="str">
        <f>IF('Hakediş Takip'!C16&lt;&gt;"", 'Hakediş Takip'!AX16, "")</f>
        <v/>
      </c>
      <c r="AY16" s="5" t="str">
        <f>IF('Hakediş Takip'!C16&lt;&gt;"", 'Hakediş Takip'!AY16, "")</f>
        <v/>
      </c>
      <c r="AZ16" s="5" t="str">
        <f>IF('Hakediş Takip'!C16&lt;&gt;"", 'Hakediş Takip'!AZ16, "")</f>
        <v/>
      </c>
      <c r="BA16" s="5" t="str">
        <f>IF('Hakediş Takip'!C16&lt;&gt;"", 'Hakediş Takip'!BA16, "")</f>
        <v/>
      </c>
      <c r="BB16" s="5" t="str">
        <f>IF('Hakediş Takip'!C16&lt;&gt;"", 'Hakediş Takip'!BB16, "")</f>
        <v/>
      </c>
      <c r="BC16" s="5" t="str">
        <f>IF('Hakediş Takip'!C16&lt;&gt;"", 'Hakediş Takip'!BC16, "")</f>
        <v/>
      </c>
      <c r="BD16" s="5" t="str">
        <f>IF('Hakediş Takip'!C16&lt;&gt;"", 'Hakediş Takip'!BD16, "")</f>
        <v/>
      </c>
      <c r="BE16" s="5" t="str">
        <f>IF('Hakediş Takip'!C16&lt;&gt;"", 'Hakediş Takip'!BE16, "")</f>
        <v/>
      </c>
      <c r="BF16" s="5" t="str">
        <f>IF('Hakediş Takip'!C16&lt;&gt;"", 'Hakediş Takip'!BF16, "")</f>
        <v/>
      </c>
      <c r="BG16" s="5" t="str">
        <f>IF('Hakediş Takip'!C16&lt;&gt;"", 'Hakediş Takip'!BG16, "")</f>
        <v/>
      </c>
      <c r="BH16" s="5" t="str">
        <f>IF('Hakediş Takip'!C16&lt;&gt;"", 'Hakediş Takip'!BH16, "")</f>
        <v/>
      </c>
      <c r="BI16" s="5" t="str">
        <f>IF('Hakediş Takip'!C16&lt;&gt;"", 'Hakediş Takip'!BI16, "")</f>
        <v/>
      </c>
      <c r="BJ16" s="5" t="str">
        <f>IF('Hakediş Takip'!C16&lt;&gt;"", 'Hakediş Takip'!BJ16, "")</f>
        <v/>
      </c>
      <c r="BK16" s="5" t="str">
        <f>IF('Hakediş Takip'!C16&lt;&gt;"", 'Hakediş Takip'!BK16, "")</f>
        <v/>
      </c>
      <c r="BL16" s="5" t="str">
        <f>IF('Hakediş Takip'!C16&lt;&gt;"", 'Hakediş Takip'!BL16, "")</f>
        <v/>
      </c>
      <c r="BM16" s="5" t="str">
        <f>IF('Hakediş Takip'!C16&lt;&gt;"", 'Hakediş Takip'!BM16, "")</f>
        <v/>
      </c>
      <c r="BN16" s="5" t="str">
        <f>IF('Hakediş Takip'!C16&lt;&gt;"", 'Hakediş Takip'!BN16, "")</f>
        <v/>
      </c>
      <c r="BO16" s="5" t="str">
        <f>IF('Hakediş Takip'!C16&lt;&gt;"", 'Hakediş Takip'!BO16, "")</f>
        <v/>
      </c>
      <c r="BP16" s="5" t="str">
        <f>IF('Hakediş Takip'!C16&lt;&gt;"", 'Hakediş Takip'!BP16, "")</f>
        <v/>
      </c>
      <c r="BQ16" s="3"/>
    </row>
    <row r="17" spans="1:69" ht="19.95" customHeight="1" x14ac:dyDescent="0.3">
      <c r="A17" s="21" t="str">
        <f>IF('Hakediş Takip'!C17&lt;&gt;"", 'Hakediş Takip'!A17, "")</f>
        <v/>
      </c>
      <c r="B17" s="5" t="str">
        <f>IF('Hakediş Takip'!C17&lt;&gt;"", 'Hakediş Takip'!B17, "")</f>
        <v/>
      </c>
      <c r="C17" s="5" t="str">
        <f>IF('Hakediş Takip'!C17&lt;&gt;"", 'Hakediş Takip'!C17, "")</f>
        <v/>
      </c>
      <c r="D17" s="5" t="str">
        <f>IF('Hakediş Takip'!C17&lt;&gt;"", 'Hakediş Takip'!D17, "")</f>
        <v/>
      </c>
      <c r="E17" s="5" t="str">
        <f>IF('Hakediş Takip'!C17&lt;&gt;"", 'Hakediş Takip'!E17, "")</f>
        <v/>
      </c>
      <c r="F17" s="5" t="str">
        <f>IF('Hakediş Takip'!C17&lt;&gt;"", 'Hakediş Takip'!F17, "")</f>
        <v/>
      </c>
      <c r="G17" s="5" t="str">
        <f>IF('Hakediş Takip'!C17&lt;&gt;"", 'Hakediş Takip'!G17, "")</f>
        <v/>
      </c>
      <c r="H17" s="5" t="str">
        <f>IF('Hakediş Takip'!C17&lt;&gt;"", 'Hakediş Takip'!H17, "")</f>
        <v/>
      </c>
      <c r="I17" s="5" t="str">
        <f>IF('Hakediş Takip'!C17&lt;&gt;"", 'Hakediş Takip'!I17, "")</f>
        <v/>
      </c>
      <c r="J17" s="5" t="str">
        <f>IF('Hakediş Takip'!C17&lt;&gt;"", 'Hakediş Takip'!J17, "")</f>
        <v/>
      </c>
      <c r="K17" s="5" t="str">
        <f>IF('Hakediş Takip'!C17&lt;&gt;"", 'Hakediş Takip'!K17, "")</f>
        <v/>
      </c>
      <c r="L17" s="5" t="str">
        <f>IF('Hakediş Takip'!C17&lt;&gt;"", 'Hakediş Takip'!L17, "")</f>
        <v/>
      </c>
      <c r="M17" s="5" t="str">
        <f>IF('Hakediş Takip'!C17&lt;&gt;"", 'Hakediş Takip'!M17, "")</f>
        <v/>
      </c>
      <c r="N17" s="5" t="str">
        <f>IF('Hakediş Takip'!C17&lt;&gt;"", 'Hakediş Takip'!N17, "")</f>
        <v/>
      </c>
      <c r="O17" s="5" t="str">
        <f>IF('Hakediş Takip'!C17&lt;&gt;"", 'Hakediş Takip'!O17, "")</f>
        <v/>
      </c>
      <c r="P17" s="5" t="str">
        <f>IF('Hakediş Takip'!C17&lt;&gt;"", 'Hakediş Takip'!P17, "")</f>
        <v/>
      </c>
      <c r="Q17" s="5" t="str">
        <f>IF('Hakediş Takip'!C17&lt;&gt;"", 'Hakediş Takip'!Q17, "")</f>
        <v/>
      </c>
      <c r="R17" s="5" t="str">
        <f>IF('Hakediş Takip'!C17&lt;&gt;"", 'Hakediş Takip'!R17, "")</f>
        <v/>
      </c>
      <c r="S17" s="5" t="str">
        <f>IF('Hakediş Takip'!C17&lt;&gt;"", 'Hakediş Takip'!S17, "")</f>
        <v/>
      </c>
      <c r="T17" s="5" t="str">
        <f>IF('Hakediş Takip'!C17&lt;&gt;"", 'Hakediş Takip'!T17, "")</f>
        <v/>
      </c>
      <c r="U17" s="5" t="str">
        <f>IF('Hakediş Takip'!C17&lt;&gt;"", 'Hakediş Takip'!U17, "")</f>
        <v/>
      </c>
      <c r="V17" s="5" t="str">
        <f>IF('Hakediş Takip'!C17&lt;&gt;"", 'Hakediş Takip'!V17, "")</f>
        <v/>
      </c>
      <c r="W17" s="5" t="str">
        <f>IF('Hakediş Takip'!C17&lt;&gt;"", 'Hakediş Takip'!W17, "")</f>
        <v/>
      </c>
      <c r="X17" s="5" t="str">
        <f>IF('Hakediş Takip'!C17&lt;&gt;"", 'Hakediş Takip'!X17, "")</f>
        <v/>
      </c>
      <c r="Y17" s="5" t="str">
        <f>IF('Hakediş Takip'!C17&lt;&gt;"", 'Hakediş Takip'!Y17, "")</f>
        <v/>
      </c>
      <c r="Z17" s="5" t="str">
        <f>IF('Hakediş Takip'!C17&lt;&gt;"", 'Hakediş Takip'!Z17, "")</f>
        <v/>
      </c>
      <c r="AA17" s="5" t="str">
        <f>IF('Hakediş Takip'!C17&lt;&gt;"", 'Hakediş Takip'!AA17, "")</f>
        <v/>
      </c>
      <c r="AB17" s="5" t="str">
        <f>IF('Hakediş Takip'!C17&lt;&gt;"", 'Hakediş Takip'!AB17, "")</f>
        <v/>
      </c>
      <c r="AC17" s="5" t="str">
        <f>IF('Hakediş Takip'!C17&lt;&gt;"", 'Hakediş Takip'!AC17, "")</f>
        <v/>
      </c>
      <c r="AD17" s="5" t="str">
        <f>IF('Hakediş Takip'!C17&lt;&gt;"", 'Hakediş Takip'!AD17, "")</f>
        <v/>
      </c>
      <c r="AE17" s="5" t="str">
        <f>IF('Hakediş Takip'!C17&lt;&gt;"", 'Hakediş Takip'!AE17, "")</f>
        <v/>
      </c>
      <c r="AF17" s="5" t="str">
        <f>IF('Hakediş Takip'!C17&lt;&gt;"", 'Hakediş Takip'!AF17, "")</f>
        <v/>
      </c>
      <c r="AG17" s="5" t="str">
        <f>IF('Hakediş Takip'!C17&lt;&gt;"", 'Hakediş Takip'!AG17, "")</f>
        <v/>
      </c>
      <c r="AH17" s="5" t="str">
        <f>IF('Hakediş Takip'!C17&lt;&gt;"", 'Hakediş Takip'!AH17, "")</f>
        <v/>
      </c>
      <c r="AI17" s="5" t="str">
        <f>IF('Hakediş Takip'!C17&lt;&gt;"", 'Hakediş Takip'!AI17, "")</f>
        <v/>
      </c>
      <c r="AJ17" s="5" t="str">
        <f>IF('Hakediş Takip'!C17&lt;&gt;"", 'Hakediş Takip'!AJ17, "")</f>
        <v/>
      </c>
      <c r="AK17" s="5" t="str">
        <f>IF('Hakediş Takip'!C17&lt;&gt;"", 'Hakediş Takip'!AK17, "")</f>
        <v/>
      </c>
      <c r="AL17" s="5" t="str">
        <f>IF('Hakediş Takip'!C17&lt;&gt;"", 'Hakediş Takip'!AL17, "")</f>
        <v/>
      </c>
      <c r="AM17" s="5" t="str">
        <f>IF('Hakediş Takip'!C17&lt;&gt;"", 'Hakediş Takip'!AM17, "")</f>
        <v/>
      </c>
      <c r="AN17" s="5" t="str">
        <f>IF('Hakediş Takip'!C17&lt;&gt;"", 'Hakediş Takip'!AN17, "")</f>
        <v/>
      </c>
      <c r="AO17" s="5" t="str">
        <f>IF('Hakediş Takip'!C17&lt;&gt;"", 'Hakediş Takip'!AO17, "")</f>
        <v/>
      </c>
      <c r="AP17" s="5" t="str">
        <f>IF('Hakediş Takip'!C17&lt;&gt;"", 'Hakediş Takip'!AP17, "")</f>
        <v/>
      </c>
      <c r="AQ17" s="5" t="str">
        <f>IF('Hakediş Takip'!C17&lt;&gt;"", 'Hakediş Takip'!AQ17, "")</f>
        <v/>
      </c>
      <c r="AR17" s="5" t="str">
        <f>IF('Hakediş Takip'!C17&lt;&gt;"", 'Hakediş Takip'!AR17, "")</f>
        <v/>
      </c>
      <c r="AS17" s="5" t="str">
        <f>IF('Hakediş Takip'!C17&lt;&gt;"", 'Hakediş Takip'!AS17, "")</f>
        <v/>
      </c>
      <c r="AT17" s="5" t="str">
        <f>IF('Hakediş Takip'!C17&lt;&gt;"", 'Hakediş Takip'!AT17, "")</f>
        <v/>
      </c>
      <c r="AU17" s="5" t="str">
        <f>IF('Hakediş Takip'!C17&lt;&gt;"", 'Hakediş Takip'!AU17, "")</f>
        <v/>
      </c>
      <c r="AV17" s="5" t="str">
        <f>IF('Hakediş Takip'!C17&lt;&gt;"", 'Hakediş Takip'!AV17, "")</f>
        <v/>
      </c>
      <c r="AW17" s="5" t="str">
        <f>IF('Hakediş Takip'!C17&lt;&gt;"", 'Hakediş Takip'!AW17, "")</f>
        <v/>
      </c>
      <c r="AX17" s="5" t="str">
        <f>IF('Hakediş Takip'!C17&lt;&gt;"", 'Hakediş Takip'!AX17, "")</f>
        <v/>
      </c>
      <c r="AY17" s="5" t="str">
        <f>IF('Hakediş Takip'!C17&lt;&gt;"", 'Hakediş Takip'!AY17, "")</f>
        <v/>
      </c>
      <c r="AZ17" s="5" t="str">
        <f>IF('Hakediş Takip'!C17&lt;&gt;"", 'Hakediş Takip'!AZ17, "")</f>
        <v/>
      </c>
      <c r="BA17" s="5" t="str">
        <f>IF('Hakediş Takip'!C17&lt;&gt;"", 'Hakediş Takip'!BA17, "")</f>
        <v/>
      </c>
      <c r="BB17" s="5" t="str">
        <f>IF('Hakediş Takip'!C17&lt;&gt;"", 'Hakediş Takip'!BB17, "")</f>
        <v/>
      </c>
      <c r="BC17" s="5" t="str">
        <f>IF('Hakediş Takip'!C17&lt;&gt;"", 'Hakediş Takip'!BC17, "")</f>
        <v/>
      </c>
      <c r="BD17" s="5" t="str">
        <f>IF('Hakediş Takip'!C17&lt;&gt;"", 'Hakediş Takip'!BD17, "")</f>
        <v/>
      </c>
      <c r="BE17" s="5" t="str">
        <f>IF('Hakediş Takip'!C17&lt;&gt;"", 'Hakediş Takip'!BE17, "")</f>
        <v/>
      </c>
      <c r="BF17" s="5" t="str">
        <f>IF('Hakediş Takip'!C17&lt;&gt;"", 'Hakediş Takip'!BF17, "")</f>
        <v/>
      </c>
      <c r="BG17" s="5" t="str">
        <f>IF('Hakediş Takip'!C17&lt;&gt;"", 'Hakediş Takip'!BG17, "")</f>
        <v/>
      </c>
      <c r="BH17" s="5" t="str">
        <f>IF('Hakediş Takip'!C17&lt;&gt;"", 'Hakediş Takip'!BH17, "")</f>
        <v/>
      </c>
      <c r="BI17" s="5" t="str">
        <f>IF('Hakediş Takip'!C17&lt;&gt;"", 'Hakediş Takip'!BI17, "")</f>
        <v/>
      </c>
      <c r="BJ17" s="5" t="str">
        <f>IF('Hakediş Takip'!C17&lt;&gt;"", 'Hakediş Takip'!BJ17, "")</f>
        <v/>
      </c>
      <c r="BK17" s="5" t="str">
        <f>IF('Hakediş Takip'!C17&lt;&gt;"", 'Hakediş Takip'!BK17, "")</f>
        <v/>
      </c>
      <c r="BL17" s="5" t="str">
        <f>IF('Hakediş Takip'!C17&lt;&gt;"", 'Hakediş Takip'!BL17, "")</f>
        <v/>
      </c>
      <c r="BM17" s="5" t="str">
        <f>IF('Hakediş Takip'!C17&lt;&gt;"", 'Hakediş Takip'!BM17, "")</f>
        <v/>
      </c>
      <c r="BN17" s="5" t="str">
        <f>IF('Hakediş Takip'!C17&lt;&gt;"", 'Hakediş Takip'!BN17, "")</f>
        <v/>
      </c>
      <c r="BO17" s="5" t="str">
        <f>IF('Hakediş Takip'!C17&lt;&gt;"", 'Hakediş Takip'!BO17, "")</f>
        <v/>
      </c>
      <c r="BP17" s="5" t="str">
        <f>IF('Hakediş Takip'!C17&lt;&gt;"", 'Hakediş Takip'!BP17, "")</f>
        <v/>
      </c>
      <c r="BQ17" s="3"/>
    </row>
    <row r="18" spans="1:69" ht="19.95" customHeight="1" x14ac:dyDescent="0.3">
      <c r="A18" s="21" t="str">
        <f>IF('Hakediş Takip'!C18&lt;&gt;"", 'Hakediş Takip'!A18, "")</f>
        <v/>
      </c>
      <c r="B18" s="5" t="str">
        <f>IF('Hakediş Takip'!C18&lt;&gt;"", 'Hakediş Takip'!B18, "")</f>
        <v/>
      </c>
      <c r="C18" s="5" t="str">
        <f>IF('Hakediş Takip'!C18&lt;&gt;"", 'Hakediş Takip'!C18, "")</f>
        <v/>
      </c>
      <c r="D18" s="5" t="str">
        <f>IF('Hakediş Takip'!C18&lt;&gt;"", 'Hakediş Takip'!D18, "")</f>
        <v/>
      </c>
      <c r="E18" s="5" t="str">
        <f>IF('Hakediş Takip'!C18&lt;&gt;"", 'Hakediş Takip'!E18, "")</f>
        <v/>
      </c>
      <c r="F18" s="5" t="str">
        <f>IF('Hakediş Takip'!C18&lt;&gt;"", 'Hakediş Takip'!F18, "")</f>
        <v/>
      </c>
      <c r="G18" s="5" t="str">
        <f>IF('Hakediş Takip'!C18&lt;&gt;"", 'Hakediş Takip'!G18, "")</f>
        <v/>
      </c>
      <c r="H18" s="5" t="str">
        <f>IF('Hakediş Takip'!C18&lt;&gt;"", 'Hakediş Takip'!H18, "")</f>
        <v/>
      </c>
      <c r="I18" s="5" t="str">
        <f>IF('Hakediş Takip'!C18&lt;&gt;"", 'Hakediş Takip'!I18, "")</f>
        <v/>
      </c>
      <c r="J18" s="5" t="str">
        <f>IF('Hakediş Takip'!C18&lt;&gt;"", 'Hakediş Takip'!J18, "")</f>
        <v/>
      </c>
      <c r="K18" s="5" t="str">
        <f>IF('Hakediş Takip'!C18&lt;&gt;"", 'Hakediş Takip'!K18, "")</f>
        <v/>
      </c>
      <c r="L18" s="5" t="str">
        <f>IF('Hakediş Takip'!C18&lt;&gt;"", 'Hakediş Takip'!L18, "")</f>
        <v/>
      </c>
      <c r="M18" s="5" t="str">
        <f>IF('Hakediş Takip'!C18&lt;&gt;"", 'Hakediş Takip'!M18, "")</f>
        <v/>
      </c>
      <c r="N18" s="5" t="str">
        <f>IF('Hakediş Takip'!C18&lt;&gt;"", 'Hakediş Takip'!N18, "")</f>
        <v/>
      </c>
      <c r="O18" s="5" t="str">
        <f>IF('Hakediş Takip'!C18&lt;&gt;"", 'Hakediş Takip'!O18, "")</f>
        <v/>
      </c>
      <c r="P18" s="5" t="str">
        <f>IF('Hakediş Takip'!C18&lt;&gt;"", 'Hakediş Takip'!P18, "")</f>
        <v/>
      </c>
      <c r="Q18" s="5" t="str">
        <f>IF('Hakediş Takip'!C18&lt;&gt;"", 'Hakediş Takip'!Q18, "")</f>
        <v/>
      </c>
      <c r="R18" s="5" t="str">
        <f>IF('Hakediş Takip'!C18&lt;&gt;"", 'Hakediş Takip'!R18, "")</f>
        <v/>
      </c>
      <c r="S18" s="5" t="str">
        <f>IF('Hakediş Takip'!C18&lt;&gt;"", 'Hakediş Takip'!S18, "")</f>
        <v/>
      </c>
      <c r="T18" s="5" t="str">
        <f>IF('Hakediş Takip'!C18&lt;&gt;"", 'Hakediş Takip'!T18, "")</f>
        <v/>
      </c>
      <c r="U18" s="5" t="str">
        <f>IF('Hakediş Takip'!C18&lt;&gt;"", 'Hakediş Takip'!U18, "")</f>
        <v/>
      </c>
      <c r="V18" s="5" t="str">
        <f>IF('Hakediş Takip'!C18&lt;&gt;"", 'Hakediş Takip'!V18, "")</f>
        <v/>
      </c>
      <c r="W18" s="5" t="str">
        <f>IF('Hakediş Takip'!C18&lt;&gt;"", 'Hakediş Takip'!W18, "")</f>
        <v/>
      </c>
      <c r="X18" s="5" t="str">
        <f>IF('Hakediş Takip'!C18&lt;&gt;"", 'Hakediş Takip'!X18, "")</f>
        <v/>
      </c>
      <c r="Y18" s="5" t="str">
        <f>IF('Hakediş Takip'!C18&lt;&gt;"", 'Hakediş Takip'!Y18, "")</f>
        <v/>
      </c>
      <c r="Z18" s="5" t="str">
        <f>IF('Hakediş Takip'!C18&lt;&gt;"", 'Hakediş Takip'!Z18, "")</f>
        <v/>
      </c>
      <c r="AA18" s="5" t="str">
        <f>IF('Hakediş Takip'!C18&lt;&gt;"", 'Hakediş Takip'!AA18, "")</f>
        <v/>
      </c>
      <c r="AB18" s="5" t="str">
        <f>IF('Hakediş Takip'!C18&lt;&gt;"", 'Hakediş Takip'!AB18, "")</f>
        <v/>
      </c>
      <c r="AC18" s="5" t="str">
        <f>IF('Hakediş Takip'!C18&lt;&gt;"", 'Hakediş Takip'!AC18, "")</f>
        <v/>
      </c>
      <c r="AD18" s="5" t="str">
        <f>IF('Hakediş Takip'!C18&lt;&gt;"", 'Hakediş Takip'!AD18, "")</f>
        <v/>
      </c>
      <c r="AE18" s="5" t="str">
        <f>IF('Hakediş Takip'!C18&lt;&gt;"", 'Hakediş Takip'!AE18, "")</f>
        <v/>
      </c>
      <c r="AF18" s="5" t="str">
        <f>IF('Hakediş Takip'!C18&lt;&gt;"", 'Hakediş Takip'!AF18, "")</f>
        <v/>
      </c>
      <c r="AG18" s="5" t="str">
        <f>IF('Hakediş Takip'!C18&lt;&gt;"", 'Hakediş Takip'!AG18, "")</f>
        <v/>
      </c>
      <c r="AH18" s="5" t="str">
        <f>IF('Hakediş Takip'!C18&lt;&gt;"", 'Hakediş Takip'!AH18, "")</f>
        <v/>
      </c>
      <c r="AI18" s="5" t="str">
        <f>IF('Hakediş Takip'!C18&lt;&gt;"", 'Hakediş Takip'!AI18, "")</f>
        <v/>
      </c>
      <c r="AJ18" s="5" t="str">
        <f>IF('Hakediş Takip'!C18&lt;&gt;"", 'Hakediş Takip'!AJ18, "")</f>
        <v/>
      </c>
      <c r="AK18" s="5" t="str">
        <f>IF('Hakediş Takip'!C18&lt;&gt;"", 'Hakediş Takip'!AK18, "")</f>
        <v/>
      </c>
      <c r="AL18" s="5" t="str">
        <f>IF('Hakediş Takip'!C18&lt;&gt;"", 'Hakediş Takip'!AL18, "")</f>
        <v/>
      </c>
      <c r="AM18" s="5" t="str">
        <f>IF('Hakediş Takip'!C18&lt;&gt;"", 'Hakediş Takip'!AM18, "")</f>
        <v/>
      </c>
      <c r="AN18" s="5" t="str">
        <f>IF('Hakediş Takip'!C18&lt;&gt;"", 'Hakediş Takip'!AN18, "")</f>
        <v/>
      </c>
      <c r="AO18" s="5" t="str">
        <f>IF('Hakediş Takip'!C18&lt;&gt;"", 'Hakediş Takip'!AO18, "")</f>
        <v/>
      </c>
      <c r="AP18" s="5" t="str">
        <f>IF('Hakediş Takip'!C18&lt;&gt;"", 'Hakediş Takip'!AP18, "")</f>
        <v/>
      </c>
      <c r="AQ18" s="5" t="str">
        <f>IF('Hakediş Takip'!C18&lt;&gt;"", 'Hakediş Takip'!AQ18, "")</f>
        <v/>
      </c>
      <c r="AR18" s="5" t="str">
        <f>IF('Hakediş Takip'!C18&lt;&gt;"", 'Hakediş Takip'!AR18, "")</f>
        <v/>
      </c>
      <c r="AS18" s="5" t="str">
        <f>IF('Hakediş Takip'!C18&lt;&gt;"", 'Hakediş Takip'!AS18, "")</f>
        <v/>
      </c>
      <c r="AT18" s="5" t="str">
        <f>IF('Hakediş Takip'!C18&lt;&gt;"", 'Hakediş Takip'!AT18, "")</f>
        <v/>
      </c>
      <c r="AU18" s="5" t="str">
        <f>IF('Hakediş Takip'!C18&lt;&gt;"", 'Hakediş Takip'!AU18, "")</f>
        <v/>
      </c>
      <c r="AV18" s="5" t="str">
        <f>IF('Hakediş Takip'!C18&lt;&gt;"", 'Hakediş Takip'!AV18, "")</f>
        <v/>
      </c>
      <c r="AW18" s="5" t="str">
        <f>IF('Hakediş Takip'!C18&lt;&gt;"", 'Hakediş Takip'!AW18, "")</f>
        <v/>
      </c>
      <c r="AX18" s="5" t="str">
        <f>IF('Hakediş Takip'!C18&lt;&gt;"", 'Hakediş Takip'!AX18, "")</f>
        <v/>
      </c>
      <c r="AY18" s="5" t="str">
        <f>IF('Hakediş Takip'!C18&lt;&gt;"", 'Hakediş Takip'!AY18, "")</f>
        <v/>
      </c>
      <c r="AZ18" s="5" t="str">
        <f>IF('Hakediş Takip'!C18&lt;&gt;"", 'Hakediş Takip'!AZ18, "")</f>
        <v/>
      </c>
      <c r="BA18" s="5" t="str">
        <f>IF('Hakediş Takip'!C18&lt;&gt;"", 'Hakediş Takip'!BA18, "")</f>
        <v/>
      </c>
      <c r="BB18" s="5" t="str">
        <f>IF('Hakediş Takip'!C18&lt;&gt;"", 'Hakediş Takip'!BB18, "")</f>
        <v/>
      </c>
      <c r="BC18" s="5" t="str">
        <f>IF('Hakediş Takip'!C18&lt;&gt;"", 'Hakediş Takip'!BC18, "")</f>
        <v/>
      </c>
      <c r="BD18" s="5" t="str">
        <f>IF('Hakediş Takip'!C18&lt;&gt;"", 'Hakediş Takip'!BD18, "")</f>
        <v/>
      </c>
      <c r="BE18" s="5" t="str">
        <f>IF('Hakediş Takip'!C18&lt;&gt;"", 'Hakediş Takip'!BE18, "")</f>
        <v/>
      </c>
      <c r="BF18" s="5" t="str">
        <f>IF('Hakediş Takip'!C18&lt;&gt;"", 'Hakediş Takip'!BF18, "")</f>
        <v/>
      </c>
      <c r="BG18" s="5" t="str">
        <f>IF('Hakediş Takip'!C18&lt;&gt;"", 'Hakediş Takip'!BG18, "")</f>
        <v/>
      </c>
      <c r="BH18" s="5" t="str">
        <f>IF('Hakediş Takip'!C18&lt;&gt;"", 'Hakediş Takip'!BH18, "")</f>
        <v/>
      </c>
      <c r="BI18" s="5" t="str">
        <f>IF('Hakediş Takip'!C18&lt;&gt;"", 'Hakediş Takip'!BI18, "")</f>
        <v/>
      </c>
      <c r="BJ18" s="5" t="str">
        <f>IF('Hakediş Takip'!C18&lt;&gt;"", 'Hakediş Takip'!BJ18, "")</f>
        <v/>
      </c>
      <c r="BK18" s="5" t="str">
        <f>IF('Hakediş Takip'!C18&lt;&gt;"", 'Hakediş Takip'!BK18, "")</f>
        <v/>
      </c>
      <c r="BL18" s="5" t="str">
        <f>IF('Hakediş Takip'!C18&lt;&gt;"", 'Hakediş Takip'!BL18, "")</f>
        <v/>
      </c>
      <c r="BM18" s="5" t="str">
        <f>IF('Hakediş Takip'!C18&lt;&gt;"", 'Hakediş Takip'!BM18, "")</f>
        <v/>
      </c>
      <c r="BN18" s="5" t="str">
        <f>IF('Hakediş Takip'!C18&lt;&gt;"", 'Hakediş Takip'!BN18, "")</f>
        <v/>
      </c>
      <c r="BO18" s="5" t="str">
        <f>IF('Hakediş Takip'!C18&lt;&gt;"", 'Hakediş Takip'!BO18, "")</f>
        <v/>
      </c>
      <c r="BP18" s="5" t="str">
        <f>IF('Hakediş Takip'!C18&lt;&gt;"", 'Hakediş Takip'!BP18, "")</f>
        <v/>
      </c>
      <c r="BQ18" s="3"/>
    </row>
    <row r="19" spans="1:69" ht="19.95" customHeight="1" x14ac:dyDescent="0.3">
      <c r="A19" s="21" t="str">
        <f>IF('Hakediş Takip'!C19&lt;&gt;"", 'Hakediş Takip'!A19, "")</f>
        <v/>
      </c>
      <c r="B19" s="5" t="str">
        <f>IF('Hakediş Takip'!C19&lt;&gt;"", 'Hakediş Takip'!B19, "")</f>
        <v/>
      </c>
      <c r="C19" s="5" t="str">
        <f>IF('Hakediş Takip'!C19&lt;&gt;"", 'Hakediş Takip'!C19, "")</f>
        <v/>
      </c>
      <c r="D19" s="5" t="str">
        <f>IF('Hakediş Takip'!C19&lt;&gt;"", 'Hakediş Takip'!D19, "")</f>
        <v/>
      </c>
      <c r="E19" s="5" t="str">
        <f>IF('Hakediş Takip'!C19&lt;&gt;"", 'Hakediş Takip'!E19, "")</f>
        <v/>
      </c>
      <c r="F19" s="5" t="str">
        <f>IF('Hakediş Takip'!C19&lt;&gt;"", 'Hakediş Takip'!F19, "")</f>
        <v/>
      </c>
      <c r="G19" s="5" t="str">
        <f>IF('Hakediş Takip'!C19&lt;&gt;"", 'Hakediş Takip'!G19, "")</f>
        <v/>
      </c>
      <c r="H19" s="5" t="str">
        <f>IF('Hakediş Takip'!C19&lt;&gt;"", 'Hakediş Takip'!H19, "")</f>
        <v/>
      </c>
      <c r="I19" s="5" t="str">
        <f>IF('Hakediş Takip'!C19&lt;&gt;"", 'Hakediş Takip'!I19, "")</f>
        <v/>
      </c>
      <c r="J19" s="5" t="str">
        <f>IF('Hakediş Takip'!C19&lt;&gt;"", 'Hakediş Takip'!J19, "")</f>
        <v/>
      </c>
      <c r="K19" s="5" t="str">
        <f>IF('Hakediş Takip'!C19&lt;&gt;"", 'Hakediş Takip'!K19, "")</f>
        <v/>
      </c>
      <c r="L19" s="5" t="str">
        <f>IF('Hakediş Takip'!C19&lt;&gt;"", 'Hakediş Takip'!L19, "")</f>
        <v/>
      </c>
      <c r="M19" s="5" t="str">
        <f>IF('Hakediş Takip'!C19&lt;&gt;"", 'Hakediş Takip'!M19, "")</f>
        <v/>
      </c>
      <c r="N19" s="5" t="str">
        <f>IF('Hakediş Takip'!C19&lt;&gt;"", 'Hakediş Takip'!N19, "")</f>
        <v/>
      </c>
      <c r="O19" s="5" t="str">
        <f>IF('Hakediş Takip'!C19&lt;&gt;"", 'Hakediş Takip'!O19, "")</f>
        <v/>
      </c>
      <c r="P19" s="5" t="str">
        <f>IF('Hakediş Takip'!C19&lt;&gt;"", 'Hakediş Takip'!P19, "")</f>
        <v/>
      </c>
      <c r="Q19" s="5" t="str">
        <f>IF('Hakediş Takip'!C19&lt;&gt;"", 'Hakediş Takip'!Q19, "")</f>
        <v/>
      </c>
      <c r="R19" s="5" t="str">
        <f>IF('Hakediş Takip'!C19&lt;&gt;"", 'Hakediş Takip'!R19, "")</f>
        <v/>
      </c>
      <c r="S19" s="5" t="str">
        <f>IF('Hakediş Takip'!C19&lt;&gt;"", 'Hakediş Takip'!S19, "")</f>
        <v/>
      </c>
      <c r="T19" s="5" t="str">
        <f>IF('Hakediş Takip'!C19&lt;&gt;"", 'Hakediş Takip'!T19, "")</f>
        <v/>
      </c>
      <c r="U19" s="5" t="str">
        <f>IF('Hakediş Takip'!C19&lt;&gt;"", 'Hakediş Takip'!U19, "")</f>
        <v/>
      </c>
      <c r="V19" s="5" t="str">
        <f>IF('Hakediş Takip'!C19&lt;&gt;"", 'Hakediş Takip'!V19, "")</f>
        <v/>
      </c>
      <c r="W19" s="5" t="str">
        <f>IF('Hakediş Takip'!C19&lt;&gt;"", 'Hakediş Takip'!W19, "")</f>
        <v/>
      </c>
      <c r="X19" s="5" t="str">
        <f>IF('Hakediş Takip'!C19&lt;&gt;"", 'Hakediş Takip'!X19, "")</f>
        <v/>
      </c>
      <c r="Y19" s="5" t="str">
        <f>IF('Hakediş Takip'!C19&lt;&gt;"", 'Hakediş Takip'!Y19, "")</f>
        <v/>
      </c>
      <c r="Z19" s="5" t="str">
        <f>IF('Hakediş Takip'!C19&lt;&gt;"", 'Hakediş Takip'!Z19, "")</f>
        <v/>
      </c>
      <c r="AA19" s="5" t="str">
        <f>IF('Hakediş Takip'!C19&lt;&gt;"", 'Hakediş Takip'!AA19, "")</f>
        <v/>
      </c>
      <c r="AB19" s="5" t="str">
        <f>IF('Hakediş Takip'!C19&lt;&gt;"", 'Hakediş Takip'!AB19, "")</f>
        <v/>
      </c>
      <c r="AC19" s="5" t="str">
        <f>IF('Hakediş Takip'!C19&lt;&gt;"", 'Hakediş Takip'!AC19, "")</f>
        <v/>
      </c>
      <c r="AD19" s="5" t="str">
        <f>IF('Hakediş Takip'!C19&lt;&gt;"", 'Hakediş Takip'!AD19, "")</f>
        <v/>
      </c>
      <c r="AE19" s="5" t="str">
        <f>IF('Hakediş Takip'!C19&lt;&gt;"", 'Hakediş Takip'!AE19, "")</f>
        <v/>
      </c>
      <c r="AF19" s="5" t="str">
        <f>IF('Hakediş Takip'!C19&lt;&gt;"", 'Hakediş Takip'!AF19, "")</f>
        <v/>
      </c>
      <c r="AG19" s="5" t="str">
        <f>IF('Hakediş Takip'!C19&lt;&gt;"", 'Hakediş Takip'!AG19, "")</f>
        <v/>
      </c>
      <c r="AH19" s="5" t="str">
        <f>IF('Hakediş Takip'!C19&lt;&gt;"", 'Hakediş Takip'!AH19, "")</f>
        <v/>
      </c>
      <c r="AI19" s="5" t="str">
        <f>IF('Hakediş Takip'!C19&lt;&gt;"", 'Hakediş Takip'!AI19, "")</f>
        <v/>
      </c>
      <c r="AJ19" s="5" t="str">
        <f>IF('Hakediş Takip'!C19&lt;&gt;"", 'Hakediş Takip'!AJ19, "")</f>
        <v/>
      </c>
      <c r="AK19" s="5" t="str">
        <f>IF('Hakediş Takip'!C19&lt;&gt;"", 'Hakediş Takip'!AK19, "")</f>
        <v/>
      </c>
      <c r="AL19" s="5" t="str">
        <f>IF('Hakediş Takip'!C19&lt;&gt;"", 'Hakediş Takip'!AL19, "")</f>
        <v/>
      </c>
      <c r="AM19" s="5" t="str">
        <f>IF('Hakediş Takip'!C19&lt;&gt;"", 'Hakediş Takip'!AM19, "")</f>
        <v/>
      </c>
      <c r="AN19" s="5" t="str">
        <f>IF('Hakediş Takip'!C19&lt;&gt;"", 'Hakediş Takip'!AN19, "")</f>
        <v/>
      </c>
      <c r="AO19" s="5" t="str">
        <f>IF('Hakediş Takip'!C19&lt;&gt;"", 'Hakediş Takip'!AO19, "")</f>
        <v/>
      </c>
      <c r="AP19" s="5" t="str">
        <f>IF('Hakediş Takip'!C19&lt;&gt;"", 'Hakediş Takip'!AP19, "")</f>
        <v/>
      </c>
      <c r="AQ19" s="5" t="str">
        <f>IF('Hakediş Takip'!C19&lt;&gt;"", 'Hakediş Takip'!AQ19, "")</f>
        <v/>
      </c>
      <c r="AR19" s="5" t="str">
        <f>IF('Hakediş Takip'!C19&lt;&gt;"", 'Hakediş Takip'!AR19, "")</f>
        <v/>
      </c>
      <c r="AS19" s="5" t="str">
        <f>IF('Hakediş Takip'!C19&lt;&gt;"", 'Hakediş Takip'!AS19, "")</f>
        <v/>
      </c>
      <c r="AT19" s="5" t="str">
        <f>IF('Hakediş Takip'!C19&lt;&gt;"", 'Hakediş Takip'!AT19, "")</f>
        <v/>
      </c>
      <c r="AU19" s="5" t="str">
        <f>IF('Hakediş Takip'!C19&lt;&gt;"", 'Hakediş Takip'!AU19, "")</f>
        <v/>
      </c>
      <c r="AV19" s="5" t="str">
        <f>IF('Hakediş Takip'!C19&lt;&gt;"", 'Hakediş Takip'!AV19, "")</f>
        <v/>
      </c>
      <c r="AW19" s="5" t="str">
        <f>IF('Hakediş Takip'!C19&lt;&gt;"", 'Hakediş Takip'!AW19, "")</f>
        <v/>
      </c>
      <c r="AX19" s="5" t="str">
        <f>IF('Hakediş Takip'!C19&lt;&gt;"", 'Hakediş Takip'!AX19, "")</f>
        <v/>
      </c>
      <c r="AY19" s="5" t="str">
        <f>IF('Hakediş Takip'!C19&lt;&gt;"", 'Hakediş Takip'!AY19, "")</f>
        <v/>
      </c>
      <c r="AZ19" s="5" t="str">
        <f>IF('Hakediş Takip'!C19&lt;&gt;"", 'Hakediş Takip'!AZ19, "")</f>
        <v/>
      </c>
      <c r="BA19" s="5" t="str">
        <f>IF('Hakediş Takip'!C19&lt;&gt;"", 'Hakediş Takip'!BA19, "")</f>
        <v/>
      </c>
      <c r="BB19" s="5" t="str">
        <f>IF('Hakediş Takip'!C19&lt;&gt;"", 'Hakediş Takip'!BB19, "")</f>
        <v/>
      </c>
      <c r="BC19" s="5" t="str">
        <f>IF('Hakediş Takip'!C19&lt;&gt;"", 'Hakediş Takip'!BC19, "")</f>
        <v/>
      </c>
      <c r="BD19" s="5" t="str">
        <f>IF('Hakediş Takip'!C19&lt;&gt;"", 'Hakediş Takip'!BD19, "")</f>
        <v/>
      </c>
      <c r="BE19" s="5" t="str">
        <f>IF('Hakediş Takip'!C19&lt;&gt;"", 'Hakediş Takip'!BE19, "")</f>
        <v/>
      </c>
      <c r="BF19" s="5" t="str">
        <f>IF('Hakediş Takip'!C19&lt;&gt;"", 'Hakediş Takip'!BF19, "")</f>
        <v/>
      </c>
      <c r="BG19" s="5" t="str">
        <f>IF('Hakediş Takip'!C19&lt;&gt;"", 'Hakediş Takip'!BG19, "")</f>
        <v/>
      </c>
      <c r="BH19" s="5" t="str">
        <f>IF('Hakediş Takip'!C19&lt;&gt;"", 'Hakediş Takip'!BH19, "")</f>
        <v/>
      </c>
      <c r="BI19" s="5" t="str">
        <f>IF('Hakediş Takip'!C19&lt;&gt;"", 'Hakediş Takip'!BI19, "")</f>
        <v/>
      </c>
      <c r="BJ19" s="5" t="str">
        <f>IF('Hakediş Takip'!C19&lt;&gt;"", 'Hakediş Takip'!BJ19, "")</f>
        <v/>
      </c>
      <c r="BK19" s="5" t="str">
        <f>IF('Hakediş Takip'!C19&lt;&gt;"", 'Hakediş Takip'!BK19, "")</f>
        <v/>
      </c>
      <c r="BL19" s="5" t="str">
        <f>IF('Hakediş Takip'!C19&lt;&gt;"", 'Hakediş Takip'!BL19, "")</f>
        <v/>
      </c>
      <c r="BM19" s="5" t="str">
        <f>IF('Hakediş Takip'!C19&lt;&gt;"", 'Hakediş Takip'!BM19, "")</f>
        <v/>
      </c>
      <c r="BN19" s="5" t="str">
        <f>IF('Hakediş Takip'!C19&lt;&gt;"", 'Hakediş Takip'!BN19, "")</f>
        <v/>
      </c>
      <c r="BO19" s="5" t="str">
        <f>IF('Hakediş Takip'!C19&lt;&gt;"", 'Hakediş Takip'!BO19, "")</f>
        <v/>
      </c>
      <c r="BP19" s="5" t="str">
        <f>IF('Hakediş Takip'!C19&lt;&gt;"", 'Hakediş Takip'!BP19, "")</f>
        <v/>
      </c>
      <c r="BQ19" s="3"/>
    </row>
    <row r="20" spans="1:69" ht="19.95" customHeight="1" x14ac:dyDescent="0.3">
      <c r="A20" s="21" t="str">
        <f>IF('Hakediş Takip'!C20&lt;&gt;"", 'Hakediş Takip'!A20, "")</f>
        <v/>
      </c>
      <c r="B20" s="5" t="str">
        <f>IF('Hakediş Takip'!C20&lt;&gt;"", 'Hakediş Takip'!B20, "")</f>
        <v/>
      </c>
      <c r="C20" s="5" t="str">
        <f>IF('Hakediş Takip'!C20&lt;&gt;"", 'Hakediş Takip'!C20, "")</f>
        <v/>
      </c>
      <c r="D20" s="5" t="str">
        <f>IF('Hakediş Takip'!C20&lt;&gt;"", 'Hakediş Takip'!D20, "")</f>
        <v/>
      </c>
      <c r="E20" s="5" t="str">
        <f>IF('Hakediş Takip'!C20&lt;&gt;"", 'Hakediş Takip'!E20, "")</f>
        <v/>
      </c>
      <c r="F20" s="5" t="str">
        <f>IF('Hakediş Takip'!C20&lt;&gt;"", 'Hakediş Takip'!F20, "")</f>
        <v/>
      </c>
      <c r="G20" s="5" t="str">
        <f>IF('Hakediş Takip'!C20&lt;&gt;"", 'Hakediş Takip'!G20, "")</f>
        <v/>
      </c>
      <c r="H20" s="5" t="str">
        <f>IF('Hakediş Takip'!C20&lt;&gt;"", 'Hakediş Takip'!H20, "")</f>
        <v/>
      </c>
      <c r="I20" s="5" t="str">
        <f>IF('Hakediş Takip'!C20&lt;&gt;"", 'Hakediş Takip'!I20, "")</f>
        <v/>
      </c>
      <c r="J20" s="5" t="str">
        <f>IF('Hakediş Takip'!C20&lt;&gt;"", 'Hakediş Takip'!J20, "")</f>
        <v/>
      </c>
      <c r="K20" s="5" t="str">
        <f>IF('Hakediş Takip'!C20&lt;&gt;"", 'Hakediş Takip'!K20, "")</f>
        <v/>
      </c>
      <c r="L20" s="5" t="str">
        <f>IF('Hakediş Takip'!C20&lt;&gt;"", 'Hakediş Takip'!L20, "")</f>
        <v/>
      </c>
      <c r="M20" s="5" t="str">
        <f>IF('Hakediş Takip'!C20&lt;&gt;"", 'Hakediş Takip'!M20, "")</f>
        <v/>
      </c>
      <c r="N20" s="5" t="str">
        <f>IF('Hakediş Takip'!C20&lt;&gt;"", 'Hakediş Takip'!N20, "")</f>
        <v/>
      </c>
      <c r="O20" s="5" t="str">
        <f>IF('Hakediş Takip'!C20&lt;&gt;"", 'Hakediş Takip'!O20, "")</f>
        <v/>
      </c>
      <c r="P20" s="5" t="str">
        <f>IF('Hakediş Takip'!C20&lt;&gt;"", 'Hakediş Takip'!P20, "")</f>
        <v/>
      </c>
      <c r="Q20" s="5" t="str">
        <f>IF('Hakediş Takip'!C20&lt;&gt;"", 'Hakediş Takip'!Q20, "")</f>
        <v/>
      </c>
      <c r="R20" s="5" t="str">
        <f>IF('Hakediş Takip'!C20&lt;&gt;"", 'Hakediş Takip'!R20, "")</f>
        <v/>
      </c>
      <c r="S20" s="5" t="str">
        <f>IF('Hakediş Takip'!C20&lt;&gt;"", 'Hakediş Takip'!S20, "")</f>
        <v/>
      </c>
      <c r="T20" s="5" t="str">
        <f>IF('Hakediş Takip'!C20&lt;&gt;"", 'Hakediş Takip'!T20, "")</f>
        <v/>
      </c>
      <c r="U20" s="5" t="str">
        <f>IF('Hakediş Takip'!C20&lt;&gt;"", 'Hakediş Takip'!U20, "")</f>
        <v/>
      </c>
      <c r="V20" s="5" t="str">
        <f>IF('Hakediş Takip'!C20&lt;&gt;"", 'Hakediş Takip'!V20, "")</f>
        <v/>
      </c>
      <c r="W20" s="5" t="str">
        <f>IF('Hakediş Takip'!C20&lt;&gt;"", 'Hakediş Takip'!W20, "")</f>
        <v/>
      </c>
      <c r="X20" s="5" t="str">
        <f>IF('Hakediş Takip'!C20&lt;&gt;"", 'Hakediş Takip'!X20, "")</f>
        <v/>
      </c>
      <c r="Y20" s="5" t="str">
        <f>IF('Hakediş Takip'!C20&lt;&gt;"", 'Hakediş Takip'!Y20, "")</f>
        <v/>
      </c>
      <c r="Z20" s="5" t="str">
        <f>IF('Hakediş Takip'!C20&lt;&gt;"", 'Hakediş Takip'!Z20, "")</f>
        <v/>
      </c>
      <c r="AA20" s="5" t="str">
        <f>IF('Hakediş Takip'!C20&lt;&gt;"", 'Hakediş Takip'!AA20, "")</f>
        <v/>
      </c>
      <c r="AB20" s="5" t="str">
        <f>IF('Hakediş Takip'!C20&lt;&gt;"", 'Hakediş Takip'!AB20, "")</f>
        <v/>
      </c>
      <c r="AC20" s="5" t="str">
        <f>IF('Hakediş Takip'!C20&lt;&gt;"", 'Hakediş Takip'!AC20, "")</f>
        <v/>
      </c>
      <c r="AD20" s="5" t="str">
        <f>IF('Hakediş Takip'!C20&lt;&gt;"", 'Hakediş Takip'!AD20, "")</f>
        <v/>
      </c>
      <c r="AE20" s="5" t="str">
        <f>IF('Hakediş Takip'!C20&lt;&gt;"", 'Hakediş Takip'!AE20, "")</f>
        <v/>
      </c>
      <c r="AF20" s="5" t="str">
        <f>IF('Hakediş Takip'!C20&lt;&gt;"", 'Hakediş Takip'!AF20, "")</f>
        <v/>
      </c>
      <c r="AG20" s="5" t="str">
        <f>IF('Hakediş Takip'!C20&lt;&gt;"", 'Hakediş Takip'!AG20, "")</f>
        <v/>
      </c>
      <c r="AH20" s="5" t="str">
        <f>IF('Hakediş Takip'!C20&lt;&gt;"", 'Hakediş Takip'!AH20, "")</f>
        <v/>
      </c>
      <c r="AI20" s="5" t="str">
        <f>IF('Hakediş Takip'!C20&lt;&gt;"", 'Hakediş Takip'!AI20, "")</f>
        <v/>
      </c>
      <c r="AJ20" s="5" t="str">
        <f>IF('Hakediş Takip'!C20&lt;&gt;"", 'Hakediş Takip'!AJ20, "")</f>
        <v/>
      </c>
      <c r="AK20" s="5" t="str">
        <f>IF('Hakediş Takip'!C20&lt;&gt;"", 'Hakediş Takip'!AK20, "")</f>
        <v/>
      </c>
      <c r="AL20" s="5" t="str">
        <f>IF('Hakediş Takip'!C20&lt;&gt;"", 'Hakediş Takip'!AL20, "")</f>
        <v/>
      </c>
      <c r="AM20" s="5" t="str">
        <f>IF('Hakediş Takip'!C20&lt;&gt;"", 'Hakediş Takip'!AM20, "")</f>
        <v/>
      </c>
      <c r="AN20" s="5" t="str">
        <f>IF('Hakediş Takip'!C20&lt;&gt;"", 'Hakediş Takip'!AN20, "")</f>
        <v/>
      </c>
      <c r="AO20" s="5" t="str">
        <f>IF('Hakediş Takip'!C20&lt;&gt;"", 'Hakediş Takip'!AO20, "")</f>
        <v/>
      </c>
      <c r="AP20" s="5" t="str">
        <f>IF('Hakediş Takip'!C20&lt;&gt;"", 'Hakediş Takip'!AP20, "")</f>
        <v/>
      </c>
      <c r="AQ20" s="5" t="str">
        <f>IF('Hakediş Takip'!C20&lt;&gt;"", 'Hakediş Takip'!AQ20, "")</f>
        <v/>
      </c>
      <c r="AR20" s="5" t="str">
        <f>IF('Hakediş Takip'!C20&lt;&gt;"", 'Hakediş Takip'!AR20, "")</f>
        <v/>
      </c>
      <c r="AS20" s="5" t="str">
        <f>IF('Hakediş Takip'!C20&lt;&gt;"", 'Hakediş Takip'!AS20, "")</f>
        <v/>
      </c>
      <c r="AT20" s="5" t="str">
        <f>IF('Hakediş Takip'!C20&lt;&gt;"", 'Hakediş Takip'!AT20, "")</f>
        <v/>
      </c>
      <c r="AU20" s="5" t="str">
        <f>IF('Hakediş Takip'!C20&lt;&gt;"", 'Hakediş Takip'!AU20, "")</f>
        <v/>
      </c>
      <c r="AV20" s="5" t="str">
        <f>IF('Hakediş Takip'!C20&lt;&gt;"", 'Hakediş Takip'!AV20, "")</f>
        <v/>
      </c>
      <c r="AW20" s="5" t="str">
        <f>IF('Hakediş Takip'!C20&lt;&gt;"", 'Hakediş Takip'!AW20, "")</f>
        <v/>
      </c>
      <c r="AX20" s="5" t="str">
        <f>IF('Hakediş Takip'!C20&lt;&gt;"", 'Hakediş Takip'!AX20, "")</f>
        <v/>
      </c>
      <c r="AY20" s="5" t="str">
        <f>IF('Hakediş Takip'!C20&lt;&gt;"", 'Hakediş Takip'!AY20, "")</f>
        <v/>
      </c>
      <c r="AZ20" s="5" t="str">
        <f>IF('Hakediş Takip'!C20&lt;&gt;"", 'Hakediş Takip'!AZ20, "")</f>
        <v/>
      </c>
      <c r="BA20" s="5" t="str">
        <f>IF('Hakediş Takip'!C20&lt;&gt;"", 'Hakediş Takip'!BA20, "")</f>
        <v/>
      </c>
      <c r="BB20" s="5" t="str">
        <f>IF('Hakediş Takip'!C20&lt;&gt;"", 'Hakediş Takip'!BB20, "")</f>
        <v/>
      </c>
      <c r="BC20" s="5" t="str">
        <f>IF('Hakediş Takip'!C20&lt;&gt;"", 'Hakediş Takip'!BC20, "")</f>
        <v/>
      </c>
      <c r="BD20" s="5" t="str">
        <f>IF('Hakediş Takip'!C20&lt;&gt;"", 'Hakediş Takip'!BD20, "")</f>
        <v/>
      </c>
      <c r="BE20" s="5" t="str">
        <f>IF('Hakediş Takip'!C20&lt;&gt;"", 'Hakediş Takip'!BE20, "")</f>
        <v/>
      </c>
      <c r="BF20" s="5" t="str">
        <f>IF('Hakediş Takip'!C20&lt;&gt;"", 'Hakediş Takip'!BF20, "")</f>
        <v/>
      </c>
      <c r="BG20" s="5" t="str">
        <f>IF('Hakediş Takip'!C20&lt;&gt;"", 'Hakediş Takip'!BG20, "")</f>
        <v/>
      </c>
      <c r="BH20" s="5" t="str">
        <f>IF('Hakediş Takip'!C20&lt;&gt;"", 'Hakediş Takip'!BH20, "")</f>
        <v/>
      </c>
      <c r="BI20" s="5" t="str">
        <f>IF('Hakediş Takip'!C20&lt;&gt;"", 'Hakediş Takip'!BI20, "")</f>
        <v/>
      </c>
      <c r="BJ20" s="5" t="str">
        <f>IF('Hakediş Takip'!C20&lt;&gt;"", 'Hakediş Takip'!BJ20, "")</f>
        <v/>
      </c>
      <c r="BK20" s="5" t="str">
        <f>IF('Hakediş Takip'!C20&lt;&gt;"", 'Hakediş Takip'!BK20, "")</f>
        <v/>
      </c>
      <c r="BL20" s="5" t="str">
        <f>IF('Hakediş Takip'!C20&lt;&gt;"", 'Hakediş Takip'!BL20, "")</f>
        <v/>
      </c>
      <c r="BM20" s="5" t="str">
        <f>IF('Hakediş Takip'!C20&lt;&gt;"", 'Hakediş Takip'!BM20, "")</f>
        <v/>
      </c>
      <c r="BN20" s="5" t="str">
        <f>IF('Hakediş Takip'!C20&lt;&gt;"", 'Hakediş Takip'!BN20, "")</f>
        <v/>
      </c>
      <c r="BO20" s="5" t="str">
        <f>IF('Hakediş Takip'!C20&lt;&gt;"", 'Hakediş Takip'!BO20, "")</f>
        <v/>
      </c>
      <c r="BP20" s="5" t="str">
        <f>IF('Hakediş Takip'!C20&lt;&gt;"", 'Hakediş Takip'!BP20, "")</f>
        <v/>
      </c>
      <c r="BQ20" s="3"/>
    </row>
    <row r="21" spans="1:69" ht="19.95" customHeight="1" x14ac:dyDescent="0.3">
      <c r="A21" s="21" t="str">
        <f>IF('Hakediş Takip'!C21&lt;&gt;"", 'Hakediş Takip'!A21, "")</f>
        <v/>
      </c>
      <c r="B21" s="5" t="str">
        <f>IF('Hakediş Takip'!C21&lt;&gt;"", 'Hakediş Takip'!B21, "")</f>
        <v/>
      </c>
      <c r="C21" s="5" t="str">
        <f>IF('Hakediş Takip'!C21&lt;&gt;"", 'Hakediş Takip'!C21, "")</f>
        <v/>
      </c>
      <c r="D21" s="5" t="str">
        <f>IF('Hakediş Takip'!C21&lt;&gt;"", 'Hakediş Takip'!D21, "")</f>
        <v/>
      </c>
      <c r="E21" s="5" t="str">
        <f>IF('Hakediş Takip'!C21&lt;&gt;"", 'Hakediş Takip'!E21, "")</f>
        <v/>
      </c>
      <c r="F21" s="5" t="str">
        <f>IF('Hakediş Takip'!C21&lt;&gt;"", 'Hakediş Takip'!F21, "")</f>
        <v/>
      </c>
      <c r="G21" s="5" t="str">
        <f>IF('Hakediş Takip'!C21&lt;&gt;"", 'Hakediş Takip'!G21, "")</f>
        <v/>
      </c>
      <c r="H21" s="5" t="str">
        <f>IF('Hakediş Takip'!C21&lt;&gt;"", 'Hakediş Takip'!H21, "")</f>
        <v/>
      </c>
      <c r="I21" s="5" t="str">
        <f>IF('Hakediş Takip'!C21&lt;&gt;"", 'Hakediş Takip'!I21, "")</f>
        <v/>
      </c>
      <c r="J21" s="5" t="str">
        <f>IF('Hakediş Takip'!C21&lt;&gt;"", 'Hakediş Takip'!J21, "")</f>
        <v/>
      </c>
      <c r="K21" s="5" t="str">
        <f>IF('Hakediş Takip'!C21&lt;&gt;"", 'Hakediş Takip'!K21, "")</f>
        <v/>
      </c>
      <c r="L21" s="5" t="str">
        <f>IF('Hakediş Takip'!C21&lt;&gt;"", 'Hakediş Takip'!L21, "")</f>
        <v/>
      </c>
      <c r="M21" s="5" t="str">
        <f>IF('Hakediş Takip'!C21&lt;&gt;"", 'Hakediş Takip'!M21, "")</f>
        <v/>
      </c>
      <c r="N21" s="5" t="str">
        <f>IF('Hakediş Takip'!C21&lt;&gt;"", 'Hakediş Takip'!N21, "")</f>
        <v/>
      </c>
      <c r="O21" s="5" t="str">
        <f>IF('Hakediş Takip'!C21&lt;&gt;"", 'Hakediş Takip'!O21, "")</f>
        <v/>
      </c>
      <c r="P21" s="5" t="str">
        <f>IF('Hakediş Takip'!C21&lt;&gt;"", 'Hakediş Takip'!P21, "")</f>
        <v/>
      </c>
      <c r="Q21" s="5" t="str">
        <f>IF('Hakediş Takip'!C21&lt;&gt;"", 'Hakediş Takip'!Q21, "")</f>
        <v/>
      </c>
      <c r="R21" s="5" t="str">
        <f>IF('Hakediş Takip'!C21&lt;&gt;"", 'Hakediş Takip'!R21, "")</f>
        <v/>
      </c>
      <c r="S21" s="5" t="str">
        <f>IF('Hakediş Takip'!C21&lt;&gt;"", 'Hakediş Takip'!S21, "")</f>
        <v/>
      </c>
      <c r="T21" s="5" t="str">
        <f>IF('Hakediş Takip'!C21&lt;&gt;"", 'Hakediş Takip'!T21, "")</f>
        <v/>
      </c>
      <c r="U21" s="5" t="str">
        <f>IF('Hakediş Takip'!C21&lt;&gt;"", 'Hakediş Takip'!U21, "")</f>
        <v/>
      </c>
      <c r="V21" s="5" t="str">
        <f>IF('Hakediş Takip'!C21&lt;&gt;"", 'Hakediş Takip'!V21, "")</f>
        <v/>
      </c>
      <c r="W21" s="5" t="str">
        <f>IF('Hakediş Takip'!C21&lt;&gt;"", 'Hakediş Takip'!W21, "")</f>
        <v/>
      </c>
      <c r="X21" s="5" t="str">
        <f>IF('Hakediş Takip'!C21&lt;&gt;"", 'Hakediş Takip'!X21, "")</f>
        <v/>
      </c>
      <c r="Y21" s="5" t="str">
        <f>IF('Hakediş Takip'!C21&lt;&gt;"", 'Hakediş Takip'!Y21, "")</f>
        <v/>
      </c>
      <c r="Z21" s="5" t="str">
        <f>IF('Hakediş Takip'!C21&lt;&gt;"", 'Hakediş Takip'!Z21, "")</f>
        <v/>
      </c>
      <c r="AA21" s="5" t="str">
        <f>IF('Hakediş Takip'!C21&lt;&gt;"", 'Hakediş Takip'!AA21, "")</f>
        <v/>
      </c>
      <c r="AB21" s="5" t="str">
        <f>IF('Hakediş Takip'!C21&lt;&gt;"", 'Hakediş Takip'!AB21, "")</f>
        <v/>
      </c>
      <c r="AC21" s="5" t="str">
        <f>IF('Hakediş Takip'!C21&lt;&gt;"", 'Hakediş Takip'!AC21, "")</f>
        <v/>
      </c>
      <c r="AD21" s="5" t="str">
        <f>IF('Hakediş Takip'!C21&lt;&gt;"", 'Hakediş Takip'!AD21, "")</f>
        <v/>
      </c>
      <c r="AE21" s="5" t="str">
        <f>IF('Hakediş Takip'!C21&lt;&gt;"", 'Hakediş Takip'!AE21, "")</f>
        <v/>
      </c>
      <c r="AF21" s="5" t="str">
        <f>IF('Hakediş Takip'!C21&lt;&gt;"", 'Hakediş Takip'!AF21, "")</f>
        <v/>
      </c>
      <c r="AG21" s="5" t="str">
        <f>IF('Hakediş Takip'!C21&lt;&gt;"", 'Hakediş Takip'!AG21, "")</f>
        <v/>
      </c>
      <c r="AH21" s="5" t="str">
        <f>IF('Hakediş Takip'!C21&lt;&gt;"", 'Hakediş Takip'!AH21, "")</f>
        <v/>
      </c>
      <c r="AI21" s="5" t="str">
        <f>IF('Hakediş Takip'!C21&lt;&gt;"", 'Hakediş Takip'!AI21, "")</f>
        <v/>
      </c>
      <c r="AJ21" s="5" t="str">
        <f>IF('Hakediş Takip'!C21&lt;&gt;"", 'Hakediş Takip'!AJ21, "")</f>
        <v/>
      </c>
      <c r="AK21" s="5" t="str">
        <f>IF('Hakediş Takip'!C21&lt;&gt;"", 'Hakediş Takip'!AK21, "")</f>
        <v/>
      </c>
      <c r="AL21" s="5" t="str">
        <f>IF('Hakediş Takip'!C21&lt;&gt;"", 'Hakediş Takip'!AL21, "")</f>
        <v/>
      </c>
      <c r="AM21" s="5" t="str">
        <f>IF('Hakediş Takip'!C21&lt;&gt;"", 'Hakediş Takip'!AM21, "")</f>
        <v/>
      </c>
      <c r="AN21" s="5" t="str">
        <f>IF('Hakediş Takip'!C21&lt;&gt;"", 'Hakediş Takip'!AN21, "")</f>
        <v/>
      </c>
      <c r="AO21" s="5" t="str">
        <f>IF('Hakediş Takip'!C21&lt;&gt;"", 'Hakediş Takip'!AO21, "")</f>
        <v/>
      </c>
      <c r="AP21" s="5" t="str">
        <f>IF('Hakediş Takip'!C21&lt;&gt;"", 'Hakediş Takip'!AP21, "")</f>
        <v/>
      </c>
      <c r="AQ21" s="5" t="str">
        <f>IF('Hakediş Takip'!C21&lt;&gt;"", 'Hakediş Takip'!AQ21, "")</f>
        <v/>
      </c>
      <c r="AR21" s="5" t="str">
        <f>IF('Hakediş Takip'!C21&lt;&gt;"", 'Hakediş Takip'!AR21, "")</f>
        <v/>
      </c>
      <c r="AS21" s="5" t="str">
        <f>IF('Hakediş Takip'!C21&lt;&gt;"", 'Hakediş Takip'!AS21, "")</f>
        <v/>
      </c>
      <c r="AT21" s="5" t="str">
        <f>IF('Hakediş Takip'!C21&lt;&gt;"", 'Hakediş Takip'!AT21, "")</f>
        <v/>
      </c>
      <c r="AU21" s="5" t="str">
        <f>IF('Hakediş Takip'!C21&lt;&gt;"", 'Hakediş Takip'!AU21, "")</f>
        <v/>
      </c>
      <c r="AV21" s="5" t="str">
        <f>IF('Hakediş Takip'!C21&lt;&gt;"", 'Hakediş Takip'!AV21, "")</f>
        <v/>
      </c>
      <c r="AW21" s="5" t="str">
        <f>IF('Hakediş Takip'!C21&lt;&gt;"", 'Hakediş Takip'!AW21, "")</f>
        <v/>
      </c>
      <c r="AX21" s="5" t="str">
        <f>IF('Hakediş Takip'!C21&lt;&gt;"", 'Hakediş Takip'!AX21, "")</f>
        <v/>
      </c>
      <c r="AY21" s="5" t="str">
        <f>IF('Hakediş Takip'!C21&lt;&gt;"", 'Hakediş Takip'!AY21, "")</f>
        <v/>
      </c>
      <c r="AZ21" s="5" t="str">
        <f>IF('Hakediş Takip'!C21&lt;&gt;"", 'Hakediş Takip'!AZ21, "")</f>
        <v/>
      </c>
      <c r="BA21" s="5" t="str">
        <f>IF('Hakediş Takip'!C21&lt;&gt;"", 'Hakediş Takip'!BA21, "")</f>
        <v/>
      </c>
      <c r="BB21" s="5" t="str">
        <f>IF('Hakediş Takip'!C21&lt;&gt;"", 'Hakediş Takip'!BB21, "")</f>
        <v/>
      </c>
      <c r="BC21" s="5" t="str">
        <f>IF('Hakediş Takip'!C21&lt;&gt;"", 'Hakediş Takip'!BC21, "")</f>
        <v/>
      </c>
      <c r="BD21" s="5" t="str">
        <f>IF('Hakediş Takip'!C21&lt;&gt;"", 'Hakediş Takip'!BD21, "")</f>
        <v/>
      </c>
      <c r="BE21" s="5" t="str">
        <f>IF('Hakediş Takip'!C21&lt;&gt;"", 'Hakediş Takip'!BE21, "")</f>
        <v/>
      </c>
      <c r="BF21" s="5" t="str">
        <f>IF('Hakediş Takip'!C21&lt;&gt;"", 'Hakediş Takip'!BF21, "")</f>
        <v/>
      </c>
      <c r="BG21" s="5" t="str">
        <f>IF('Hakediş Takip'!C21&lt;&gt;"", 'Hakediş Takip'!BG21, "")</f>
        <v/>
      </c>
      <c r="BH21" s="5" t="str">
        <f>IF('Hakediş Takip'!C21&lt;&gt;"", 'Hakediş Takip'!BH21, "")</f>
        <v/>
      </c>
      <c r="BI21" s="5" t="str">
        <f>IF('Hakediş Takip'!C21&lt;&gt;"", 'Hakediş Takip'!BI21, "")</f>
        <v/>
      </c>
      <c r="BJ21" s="5" t="str">
        <f>IF('Hakediş Takip'!C21&lt;&gt;"", 'Hakediş Takip'!BJ21, "")</f>
        <v/>
      </c>
      <c r="BK21" s="5" t="str">
        <f>IF('Hakediş Takip'!C21&lt;&gt;"", 'Hakediş Takip'!BK21, "")</f>
        <v/>
      </c>
      <c r="BL21" s="5" t="str">
        <f>IF('Hakediş Takip'!C21&lt;&gt;"", 'Hakediş Takip'!BL21, "")</f>
        <v/>
      </c>
      <c r="BM21" s="5" t="str">
        <f>IF('Hakediş Takip'!C21&lt;&gt;"", 'Hakediş Takip'!BM21, "")</f>
        <v/>
      </c>
      <c r="BN21" s="5" t="str">
        <f>IF('Hakediş Takip'!C21&lt;&gt;"", 'Hakediş Takip'!BN21, "")</f>
        <v/>
      </c>
      <c r="BO21" s="5" t="str">
        <f>IF('Hakediş Takip'!C21&lt;&gt;"", 'Hakediş Takip'!BO21, "")</f>
        <v/>
      </c>
      <c r="BP21" s="5" t="str">
        <f>IF('Hakediş Takip'!C21&lt;&gt;"", 'Hakediş Takip'!BP21, "")</f>
        <v/>
      </c>
      <c r="BQ21" s="3"/>
    </row>
    <row r="22" spans="1:69" ht="19.95" customHeight="1" x14ac:dyDescent="0.3">
      <c r="A22" s="21" t="str">
        <f>IF('Hakediş Takip'!C22&lt;&gt;"", 'Hakediş Takip'!A22, "")</f>
        <v/>
      </c>
      <c r="B22" s="5" t="str">
        <f>IF('Hakediş Takip'!C22&lt;&gt;"", 'Hakediş Takip'!B22, "")</f>
        <v/>
      </c>
      <c r="C22" s="5" t="str">
        <f>IF('Hakediş Takip'!C22&lt;&gt;"", 'Hakediş Takip'!C22, "")</f>
        <v/>
      </c>
      <c r="D22" s="5" t="str">
        <f>IF('Hakediş Takip'!C22&lt;&gt;"", 'Hakediş Takip'!D22, "")</f>
        <v/>
      </c>
      <c r="E22" s="5" t="str">
        <f>IF('Hakediş Takip'!C22&lt;&gt;"", 'Hakediş Takip'!E22, "")</f>
        <v/>
      </c>
      <c r="F22" s="5" t="str">
        <f>IF('Hakediş Takip'!C22&lt;&gt;"", 'Hakediş Takip'!F22, "")</f>
        <v/>
      </c>
      <c r="G22" s="5" t="str">
        <f>IF('Hakediş Takip'!C22&lt;&gt;"", 'Hakediş Takip'!G22, "")</f>
        <v/>
      </c>
      <c r="H22" s="5" t="str">
        <f>IF('Hakediş Takip'!C22&lt;&gt;"", 'Hakediş Takip'!H22, "")</f>
        <v/>
      </c>
      <c r="I22" s="5" t="str">
        <f>IF('Hakediş Takip'!C22&lt;&gt;"", 'Hakediş Takip'!I22, "")</f>
        <v/>
      </c>
      <c r="J22" s="5" t="str">
        <f>IF('Hakediş Takip'!C22&lt;&gt;"", 'Hakediş Takip'!J22, "")</f>
        <v/>
      </c>
      <c r="K22" s="5" t="str">
        <f>IF('Hakediş Takip'!C22&lt;&gt;"", 'Hakediş Takip'!K22, "")</f>
        <v/>
      </c>
      <c r="L22" s="5" t="str">
        <f>IF('Hakediş Takip'!C22&lt;&gt;"", 'Hakediş Takip'!L22, "")</f>
        <v/>
      </c>
      <c r="M22" s="5" t="str">
        <f>IF('Hakediş Takip'!C22&lt;&gt;"", 'Hakediş Takip'!M22, "")</f>
        <v/>
      </c>
      <c r="N22" s="5" t="str">
        <f>IF('Hakediş Takip'!C22&lt;&gt;"", 'Hakediş Takip'!N22, "")</f>
        <v/>
      </c>
      <c r="O22" s="5" t="str">
        <f>IF('Hakediş Takip'!C22&lt;&gt;"", 'Hakediş Takip'!O22, "")</f>
        <v/>
      </c>
      <c r="P22" s="5" t="str">
        <f>IF('Hakediş Takip'!C22&lt;&gt;"", 'Hakediş Takip'!P22, "")</f>
        <v/>
      </c>
      <c r="Q22" s="5" t="str">
        <f>IF('Hakediş Takip'!C22&lt;&gt;"", 'Hakediş Takip'!Q22, "")</f>
        <v/>
      </c>
      <c r="R22" s="5" t="str">
        <f>IF('Hakediş Takip'!C22&lt;&gt;"", 'Hakediş Takip'!R22, "")</f>
        <v/>
      </c>
      <c r="S22" s="5" t="str">
        <f>IF('Hakediş Takip'!C22&lt;&gt;"", 'Hakediş Takip'!S22, "")</f>
        <v/>
      </c>
      <c r="T22" s="5" t="str">
        <f>IF('Hakediş Takip'!C22&lt;&gt;"", 'Hakediş Takip'!T22, "")</f>
        <v/>
      </c>
      <c r="U22" s="5" t="str">
        <f>IF('Hakediş Takip'!C22&lt;&gt;"", 'Hakediş Takip'!U22, "")</f>
        <v/>
      </c>
      <c r="V22" s="5" t="str">
        <f>IF('Hakediş Takip'!C22&lt;&gt;"", 'Hakediş Takip'!V22, "")</f>
        <v/>
      </c>
      <c r="W22" s="5" t="str">
        <f>IF('Hakediş Takip'!C22&lt;&gt;"", 'Hakediş Takip'!W22, "")</f>
        <v/>
      </c>
      <c r="X22" s="5" t="str">
        <f>IF('Hakediş Takip'!C22&lt;&gt;"", 'Hakediş Takip'!X22, "")</f>
        <v/>
      </c>
      <c r="Y22" s="5" t="str">
        <f>IF('Hakediş Takip'!C22&lt;&gt;"", 'Hakediş Takip'!Y22, "")</f>
        <v/>
      </c>
      <c r="Z22" s="5" t="str">
        <f>IF('Hakediş Takip'!C22&lt;&gt;"", 'Hakediş Takip'!Z22, "")</f>
        <v/>
      </c>
      <c r="AA22" s="5" t="str">
        <f>IF('Hakediş Takip'!C22&lt;&gt;"", 'Hakediş Takip'!AA22, "")</f>
        <v/>
      </c>
      <c r="AB22" s="5" t="str">
        <f>IF('Hakediş Takip'!C22&lt;&gt;"", 'Hakediş Takip'!AB22, "")</f>
        <v/>
      </c>
      <c r="AC22" s="5" t="str">
        <f>IF('Hakediş Takip'!C22&lt;&gt;"", 'Hakediş Takip'!AC22, "")</f>
        <v/>
      </c>
      <c r="AD22" s="5" t="str">
        <f>IF('Hakediş Takip'!C22&lt;&gt;"", 'Hakediş Takip'!AD22, "")</f>
        <v/>
      </c>
      <c r="AE22" s="5" t="str">
        <f>IF('Hakediş Takip'!C22&lt;&gt;"", 'Hakediş Takip'!AE22, "")</f>
        <v/>
      </c>
      <c r="AF22" s="5" t="str">
        <f>IF('Hakediş Takip'!C22&lt;&gt;"", 'Hakediş Takip'!AF22, "")</f>
        <v/>
      </c>
      <c r="AG22" s="5" t="str">
        <f>IF('Hakediş Takip'!C22&lt;&gt;"", 'Hakediş Takip'!AG22, "")</f>
        <v/>
      </c>
      <c r="AH22" s="5" t="str">
        <f>IF('Hakediş Takip'!C22&lt;&gt;"", 'Hakediş Takip'!AH22, "")</f>
        <v/>
      </c>
      <c r="AI22" s="5" t="str">
        <f>IF('Hakediş Takip'!C22&lt;&gt;"", 'Hakediş Takip'!AI22, "")</f>
        <v/>
      </c>
      <c r="AJ22" s="5" t="str">
        <f>IF('Hakediş Takip'!C22&lt;&gt;"", 'Hakediş Takip'!AJ22, "")</f>
        <v/>
      </c>
      <c r="AK22" s="5" t="str">
        <f>IF('Hakediş Takip'!C22&lt;&gt;"", 'Hakediş Takip'!AK22, "")</f>
        <v/>
      </c>
      <c r="AL22" s="5" t="str">
        <f>IF('Hakediş Takip'!C22&lt;&gt;"", 'Hakediş Takip'!AL22, "")</f>
        <v/>
      </c>
      <c r="AM22" s="5" t="str">
        <f>IF('Hakediş Takip'!C22&lt;&gt;"", 'Hakediş Takip'!AM22, "")</f>
        <v/>
      </c>
      <c r="AN22" s="5" t="str">
        <f>IF('Hakediş Takip'!C22&lt;&gt;"", 'Hakediş Takip'!AN22, "")</f>
        <v/>
      </c>
      <c r="AO22" s="5" t="str">
        <f>IF('Hakediş Takip'!C22&lt;&gt;"", 'Hakediş Takip'!AO22, "")</f>
        <v/>
      </c>
      <c r="AP22" s="5" t="str">
        <f>IF('Hakediş Takip'!C22&lt;&gt;"", 'Hakediş Takip'!AP22, "")</f>
        <v/>
      </c>
      <c r="AQ22" s="5" t="str">
        <f>IF('Hakediş Takip'!C22&lt;&gt;"", 'Hakediş Takip'!AQ22, "")</f>
        <v/>
      </c>
      <c r="AR22" s="5" t="str">
        <f>IF('Hakediş Takip'!C22&lt;&gt;"", 'Hakediş Takip'!AR22, "")</f>
        <v/>
      </c>
      <c r="AS22" s="5" t="str">
        <f>IF('Hakediş Takip'!C22&lt;&gt;"", 'Hakediş Takip'!AS22, "")</f>
        <v/>
      </c>
      <c r="AT22" s="5" t="str">
        <f>IF('Hakediş Takip'!C22&lt;&gt;"", 'Hakediş Takip'!AT22, "")</f>
        <v/>
      </c>
      <c r="AU22" s="5" t="str">
        <f>IF('Hakediş Takip'!C22&lt;&gt;"", 'Hakediş Takip'!AU22, "")</f>
        <v/>
      </c>
      <c r="AV22" s="5" t="str">
        <f>IF('Hakediş Takip'!C22&lt;&gt;"", 'Hakediş Takip'!AV22, "")</f>
        <v/>
      </c>
      <c r="AW22" s="5" t="str">
        <f>IF('Hakediş Takip'!C22&lt;&gt;"", 'Hakediş Takip'!AW22, "")</f>
        <v/>
      </c>
      <c r="AX22" s="5" t="str">
        <f>IF('Hakediş Takip'!C22&lt;&gt;"", 'Hakediş Takip'!AX22, "")</f>
        <v/>
      </c>
      <c r="AY22" s="5" t="str">
        <f>IF('Hakediş Takip'!C22&lt;&gt;"", 'Hakediş Takip'!AY22, "")</f>
        <v/>
      </c>
      <c r="AZ22" s="5" t="str">
        <f>IF('Hakediş Takip'!C22&lt;&gt;"", 'Hakediş Takip'!AZ22, "")</f>
        <v/>
      </c>
      <c r="BA22" s="5" t="str">
        <f>IF('Hakediş Takip'!C22&lt;&gt;"", 'Hakediş Takip'!BA22, "")</f>
        <v/>
      </c>
      <c r="BB22" s="5" t="str">
        <f>IF('Hakediş Takip'!C22&lt;&gt;"", 'Hakediş Takip'!BB22, "")</f>
        <v/>
      </c>
      <c r="BC22" s="5" t="str">
        <f>IF('Hakediş Takip'!C22&lt;&gt;"", 'Hakediş Takip'!BC22, "")</f>
        <v/>
      </c>
      <c r="BD22" s="5" t="str">
        <f>IF('Hakediş Takip'!C22&lt;&gt;"", 'Hakediş Takip'!BD22, "")</f>
        <v/>
      </c>
      <c r="BE22" s="5" t="str">
        <f>IF('Hakediş Takip'!C22&lt;&gt;"", 'Hakediş Takip'!BE22, "")</f>
        <v/>
      </c>
      <c r="BF22" s="5" t="str">
        <f>IF('Hakediş Takip'!C22&lt;&gt;"", 'Hakediş Takip'!BF22, "")</f>
        <v/>
      </c>
      <c r="BG22" s="5" t="str">
        <f>IF('Hakediş Takip'!C22&lt;&gt;"", 'Hakediş Takip'!BG22, "")</f>
        <v/>
      </c>
      <c r="BH22" s="5" t="str">
        <f>IF('Hakediş Takip'!C22&lt;&gt;"", 'Hakediş Takip'!BH22, "")</f>
        <v/>
      </c>
      <c r="BI22" s="5" t="str">
        <f>IF('Hakediş Takip'!C22&lt;&gt;"", 'Hakediş Takip'!BI22, "")</f>
        <v/>
      </c>
      <c r="BJ22" s="5" t="str">
        <f>IF('Hakediş Takip'!C22&lt;&gt;"", 'Hakediş Takip'!BJ22, "")</f>
        <v/>
      </c>
      <c r="BK22" s="5" t="str">
        <f>IF('Hakediş Takip'!C22&lt;&gt;"", 'Hakediş Takip'!BK22, "")</f>
        <v/>
      </c>
      <c r="BL22" s="5" t="str">
        <f>IF('Hakediş Takip'!C22&lt;&gt;"", 'Hakediş Takip'!BL22, "")</f>
        <v/>
      </c>
      <c r="BM22" s="5" t="str">
        <f>IF('Hakediş Takip'!C22&lt;&gt;"", 'Hakediş Takip'!BM22, "")</f>
        <v/>
      </c>
      <c r="BN22" s="5" t="str">
        <f>IF('Hakediş Takip'!C22&lt;&gt;"", 'Hakediş Takip'!BN22, "")</f>
        <v/>
      </c>
      <c r="BO22" s="5" t="str">
        <f>IF('Hakediş Takip'!C22&lt;&gt;"", 'Hakediş Takip'!BO22, "")</f>
        <v/>
      </c>
      <c r="BP22" s="5" t="str">
        <f>IF('Hakediş Takip'!C22&lt;&gt;"", 'Hakediş Takip'!BP22, "")</f>
        <v/>
      </c>
      <c r="BQ22" s="3"/>
    </row>
    <row r="23" spans="1:69" ht="19.95" customHeight="1" x14ac:dyDescent="0.3">
      <c r="A23" s="21" t="str">
        <f>IF('Hakediş Takip'!C23&lt;&gt;"", 'Hakediş Takip'!A23, "")</f>
        <v/>
      </c>
      <c r="B23" s="5" t="str">
        <f>IF('Hakediş Takip'!C23&lt;&gt;"", 'Hakediş Takip'!B23, "")</f>
        <v/>
      </c>
      <c r="C23" s="5" t="str">
        <f>IF('Hakediş Takip'!C23&lt;&gt;"", 'Hakediş Takip'!C23, "")</f>
        <v/>
      </c>
      <c r="D23" s="5" t="str">
        <f>IF('Hakediş Takip'!C23&lt;&gt;"", 'Hakediş Takip'!D23, "")</f>
        <v/>
      </c>
      <c r="E23" s="5" t="str">
        <f>IF('Hakediş Takip'!C23&lt;&gt;"", 'Hakediş Takip'!E23, "")</f>
        <v/>
      </c>
      <c r="F23" s="5" t="str">
        <f>IF('Hakediş Takip'!C23&lt;&gt;"", 'Hakediş Takip'!F23, "")</f>
        <v/>
      </c>
      <c r="G23" s="5" t="str">
        <f>IF('Hakediş Takip'!C23&lt;&gt;"", 'Hakediş Takip'!G23, "")</f>
        <v/>
      </c>
      <c r="H23" s="5" t="str">
        <f>IF('Hakediş Takip'!C23&lt;&gt;"", 'Hakediş Takip'!H23, "")</f>
        <v/>
      </c>
      <c r="I23" s="5" t="str">
        <f>IF('Hakediş Takip'!C23&lt;&gt;"", 'Hakediş Takip'!I23, "")</f>
        <v/>
      </c>
      <c r="J23" s="5" t="str">
        <f>IF('Hakediş Takip'!C23&lt;&gt;"", 'Hakediş Takip'!J23, "")</f>
        <v/>
      </c>
      <c r="K23" s="5" t="str">
        <f>IF('Hakediş Takip'!C23&lt;&gt;"", 'Hakediş Takip'!K23, "")</f>
        <v/>
      </c>
      <c r="L23" s="5" t="str">
        <f>IF('Hakediş Takip'!C23&lt;&gt;"", 'Hakediş Takip'!L23, "")</f>
        <v/>
      </c>
      <c r="M23" s="5" t="str">
        <f>IF('Hakediş Takip'!C23&lt;&gt;"", 'Hakediş Takip'!M23, "")</f>
        <v/>
      </c>
      <c r="N23" s="5" t="str">
        <f>IF('Hakediş Takip'!C23&lt;&gt;"", 'Hakediş Takip'!N23, "")</f>
        <v/>
      </c>
      <c r="O23" s="5" t="str">
        <f>IF('Hakediş Takip'!C23&lt;&gt;"", 'Hakediş Takip'!O23, "")</f>
        <v/>
      </c>
      <c r="P23" s="5" t="str">
        <f>IF('Hakediş Takip'!C23&lt;&gt;"", 'Hakediş Takip'!P23, "")</f>
        <v/>
      </c>
      <c r="Q23" s="5" t="str">
        <f>IF('Hakediş Takip'!C23&lt;&gt;"", 'Hakediş Takip'!Q23, "")</f>
        <v/>
      </c>
      <c r="R23" s="5" t="str">
        <f>IF('Hakediş Takip'!C23&lt;&gt;"", 'Hakediş Takip'!R23, "")</f>
        <v/>
      </c>
      <c r="S23" s="5" t="str">
        <f>IF('Hakediş Takip'!C23&lt;&gt;"", 'Hakediş Takip'!S23, "")</f>
        <v/>
      </c>
      <c r="T23" s="5" t="str">
        <f>IF('Hakediş Takip'!C23&lt;&gt;"", 'Hakediş Takip'!T23, "")</f>
        <v/>
      </c>
      <c r="U23" s="5" t="str">
        <f>IF('Hakediş Takip'!C23&lt;&gt;"", 'Hakediş Takip'!U23, "")</f>
        <v/>
      </c>
      <c r="V23" s="5" t="str">
        <f>IF('Hakediş Takip'!C23&lt;&gt;"", 'Hakediş Takip'!V23, "")</f>
        <v/>
      </c>
      <c r="W23" s="5" t="str">
        <f>IF('Hakediş Takip'!C23&lt;&gt;"", 'Hakediş Takip'!W23, "")</f>
        <v/>
      </c>
      <c r="X23" s="5" t="str">
        <f>IF('Hakediş Takip'!C23&lt;&gt;"", 'Hakediş Takip'!X23, "")</f>
        <v/>
      </c>
      <c r="Y23" s="5" t="str">
        <f>IF('Hakediş Takip'!C23&lt;&gt;"", 'Hakediş Takip'!Y23, "")</f>
        <v/>
      </c>
      <c r="Z23" s="5" t="str">
        <f>IF('Hakediş Takip'!C23&lt;&gt;"", 'Hakediş Takip'!Z23, "")</f>
        <v/>
      </c>
      <c r="AA23" s="5" t="str">
        <f>IF('Hakediş Takip'!C23&lt;&gt;"", 'Hakediş Takip'!AA23, "")</f>
        <v/>
      </c>
      <c r="AB23" s="5" t="str">
        <f>IF('Hakediş Takip'!C23&lt;&gt;"", 'Hakediş Takip'!AB23, "")</f>
        <v/>
      </c>
      <c r="AC23" s="5" t="str">
        <f>IF('Hakediş Takip'!C23&lt;&gt;"", 'Hakediş Takip'!AC23, "")</f>
        <v/>
      </c>
      <c r="AD23" s="5" t="str">
        <f>IF('Hakediş Takip'!C23&lt;&gt;"", 'Hakediş Takip'!AD23, "")</f>
        <v/>
      </c>
      <c r="AE23" s="5" t="str">
        <f>IF('Hakediş Takip'!C23&lt;&gt;"", 'Hakediş Takip'!AE23, "")</f>
        <v/>
      </c>
      <c r="AF23" s="5" t="str">
        <f>IF('Hakediş Takip'!C23&lt;&gt;"", 'Hakediş Takip'!AF23, "")</f>
        <v/>
      </c>
      <c r="AG23" s="5" t="str">
        <f>IF('Hakediş Takip'!C23&lt;&gt;"", 'Hakediş Takip'!AG23, "")</f>
        <v/>
      </c>
      <c r="AH23" s="5" t="str">
        <f>IF('Hakediş Takip'!C23&lt;&gt;"", 'Hakediş Takip'!AH23, "")</f>
        <v/>
      </c>
      <c r="AI23" s="5" t="str">
        <f>IF('Hakediş Takip'!C23&lt;&gt;"", 'Hakediş Takip'!AI23, "")</f>
        <v/>
      </c>
      <c r="AJ23" s="5" t="str">
        <f>IF('Hakediş Takip'!C23&lt;&gt;"", 'Hakediş Takip'!AJ23, "")</f>
        <v/>
      </c>
      <c r="AK23" s="5" t="str">
        <f>IF('Hakediş Takip'!C23&lt;&gt;"", 'Hakediş Takip'!AK23, "")</f>
        <v/>
      </c>
      <c r="AL23" s="5" t="str">
        <f>IF('Hakediş Takip'!C23&lt;&gt;"", 'Hakediş Takip'!AL23, "")</f>
        <v/>
      </c>
      <c r="AM23" s="5" t="str">
        <f>IF('Hakediş Takip'!C23&lt;&gt;"", 'Hakediş Takip'!AM23, "")</f>
        <v/>
      </c>
      <c r="AN23" s="5" t="str">
        <f>IF('Hakediş Takip'!C23&lt;&gt;"", 'Hakediş Takip'!AN23, "")</f>
        <v/>
      </c>
      <c r="AO23" s="5" t="str">
        <f>IF('Hakediş Takip'!C23&lt;&gt;"", 'Hakediş Takip'!AO23, "")</f>
        <v/>
      </c>
      <c r="AP23" s="5" t="str">
        <f>IF('Hakediş Takip'!C23&lt;&gt;"", 'Hakediş Takip'!AP23, "")</f>
        <v/>
      </c>
      <c r="AQ23" s="5" t="str">
        <f>IF('Hakediş Takip'!C23&lt;&gt;"", 'Hakediş Takip'!AQ23, "")</f>
        <v/>
      </c>
      <c r="AR23" s="5" t="str">
        <f>IF('Hakediş Takip'!C23&lt;&gt;"", 'Hakediş Takip'!AR23, "")</f>
        <v/>
      </c>
      <c r="AS23" s="5" t="str">
        <f>IF('Hakediş Takip'!C23&lt;&gt;"", 'Hakediş Takip'!AS23, "")</f>
        <v/>
      </c>
      <c r="AT23" s="5" t="str">
        <f>IF('Hakediş Takip'!C23&lt;&gt;"", 'Hakediş Takip'!AT23, "")</f>
        <v/>
      </c>
      <c r="AU23" s="5" t="str">
        <f>IF('Hakediş Takip'!C23&lt;&gt;"", 'Hakediş Takip'!AU23, "")</f>
        <v/>
      </c>
      <c r="AV23" s="5" t="str">
        <f>IF('Hakediş Takip'!C23&lt;&gt;"", 'Hakediş Takip'!AV23, "")</f>
        <v/>
      </c>
      <c r="AW23" s="5" t="str">
        <f>IF('Hakediş Takip'!C23&lt;&gt;"", 'Hakediş Takip'!AW23, "")</f>
        <v/>
      </c>
      <c r="AX23" s="5" t="str">
        <f>IF('Hakediş Takip'!C23&lt;&gt;"", 'Hakediş Takip'!AX23, "")</f>
        <v/>
      </c>
      <c r="AY23" s="5" t="str">
        <f>IF('Hakediş Takip'!C23&lt;&gt;"", 'Hakediş Takip'!AY23, "")</f>
        <v/>
      </c>
      <c r="AZ23" s="5" t="str">
        <f>IF('Hakediş Takip'!C23&lt;&gt;"", 'Hakediş Takip'!AZ23, "")</f>
        <v/>
      </c>
      <c r="BA23" s="5" t="str">
        <f>IF('Hakediş Takip'!C23&lt;&gt;"", 'Hakediş Takip'!BA23, "")</f>
        <v/>
      </c>
      <c r="BB23" s="5" t="str">
        <f>IF('Hakediş Takip'!C23&lt;&gt;"", 'Hakediş Takip'!BB23, "")</f>
        <v/>
      </c>
      <c r="BC23" s="5" t="str">
        <f>IF('Hakediş Takip'!C23&lt;&gt;"", 'Hakediş Takip'!BC23, "")</f>
        <v/>
      </c>
      <c r="BD23" s="5" t="str">
        <f>IF('Hakediş Takip'!C23&lt;&gt;"", 'Hakediş Takip'!BD23, "")</f>
        <v/>
      </c>
      <c r="BE23" s="5" t="str">
        <f>IF('Hakediş Takip'!C23&lt;&gt;"", 'Hakediş Takip'!BE23, "")</f>
        <v/>
      </c>
      <c r="BF23" s="5" t="str">
        <f>IF('Hakediş Takip'!C23&lt;&gt;"", 'Hakediş Takip'!BF23, "")</f>
        <v/>
      </c>
      <c r="BG23" s="5" t="str">
        <f>IF('Hakediş Takip'!C23&lt;&gt;"", 'Hakediş Takip'!BG23, "")</f>
        <v/>
      </c>
      <c r="BH23" s="5" t="str">
        <f>IF('Hakediş Takip'!C23&lt;&gt;"", 'Hakediş Takip'!BH23, "")</f>
        <v/>
      </c>
      <c r="BI23" s="5" t="str">
        <f>IF('Hakediş Takip'!C23&lt;&gt;"", 'Hakediş Takip'!BI23, "")</f>
        <v/>
      </c>
      <c r="BJ23" s="5" t="str">
        <f>IF('Hakediş Takip'!C23&lt;&gt;"", 'Hakediş Takip'!BJ23, "")</f>
        <v/>
      </c>
      <c r="BK23" s="5" t="str">
        <f>IF('Hakediş Takip'!C23&lt;&gt;"", 'Hakediş Takip'!BK23, "")</f>
        <v/>
      </c>
      <c r="BL23" s="5" t="str">
        <f>IF('Hakediş Takip'!C23&lt;&gt;"", 'Hakediş Takip'!BL23, "")</f>
        <v/>
      </c>
      <c r="BM23" s="5" t="str">
        <f>IF('Hakediş Takip'!C23&lt;&gt;"", 'Hakediş Takip'!BM23, "")</f>
        <v/>
      </c>
      <c r="BN23" s="5" t="str">
        <f>IF('Hakediş Takip'!C23&lt;&gt;"", 'Hakediş Takip'!BN23, "")</f>
        <v/>
      </c>
      <c r="BO23" s="5" t="str">
        <f>IF('Hakediş Takip'!C23&lt;&gt;"", 'Hakediş Takip'!BO23, "")</f>
        <v/>
      </c>
      <c r="BP23" s="5" t="str">
        <f>IF('Hakediş Takip'!C23&lt;&gt;"", 'Hakediş Takip'!BP23, "")</f>
        <v/>
      </c>
      <c r="BQ23" s="3"/>
    </row>
    <row r="24" spans="1:69" ht="19.95" customHeight="1" x14ac:dyDescent="0.3">
      <c r="A24" s="21" t="str">
        <f>IF('Hakediş Takip'!C24&lt;&gt;"", 'Hakediş Takip'!A24, "")</f>
        <v/>
      </c>
      <c r="B24" s="5" t="str">
        <f>IF('Hakediş Takip'!C24&lt;&gt;"", 'Hakediş Takip'!B24, "")</f>
        <v/>
      </c>
      <c r="C24" s="5" t="str">
        <f>IF('Hakediş Takip'!C24&lt;&gt;"", 'Hakediş Takip'!C24, "")</f>
        <v/>
      </c>
      <c r="D24" s="5" t="str">
        <f>IF('Hakediş Takip'!C24&lt;&gt;"", 'Hakediş Takip'!D24, "")</f>
        <v/>
      </c>
      <c r="E24" s="5" t="str">
        <f>IF('Hakediş Takip'!C24&lt;&gt;"", 'Hakediş Takip'!E24, "")</f>
        <v/>
      </c>
      <c r="F24" s="5" t="str">
        <f>IF('Hakediş Takip'!C24&lt;&gt;"", 'Hakediş Takip'!F24, "")</f>
        <v/>
      </c>
      <c r="G24" s="5" t="str">
        <f>IF('Hakediş Takip'!C24&lt;&gt;"", 'Hakediş Takip'!G24, "")</f>
        <v/>
      </c>
      <c r="H24" s="5" t="str">
        <f>IF('Hakediş Takip'!C24&lt;&gt;"", 'Hakediş Takip'!H24, "")</f>
        <v/>
      </c>
      <c r="I24" s="5" t="str">
        <f>IF('Hakediş Takip'!C24&lt;&gt;"", 'Hakediş Takip'!I24, "")</f>
        <v/>
      </c>
      <c r="J24" s="5" t="str">
        <f>IF('Hakediş Takip'!C24&lt;&gt;"", 'Hakediş Takip'!J24, "")</f>
        <v/>
      </c>
      <c r="K24" s="5" t="str">
        <f>IF('Hakediş Takip'!C24&lt;&gt;"", 'Hakediş Takip'!K24, "")</f>
        <v/>
      </c>
      <c r="L24" s="5" t="str">
        <f>IF('Hakediş Takip'!C24&lt;&gt;"", 'Hakediş Takip'!L24, "")</f>
        <v/>
      </c>
      <c r="M24" s="5" t="str">
        <f>IF('Hakediş Takip'!C24&lt;&gt;"", 'Hakediş Takip'!M24, "")</f>
        <v/>
      </c>
      <c r="N24" s="5" t="str">
        <f>IF('Hakediş Takip'!C24&lt;&gt;"", 'Hakediş Takip'!N24, "")</f>
        <v/>
      </c>
      <c r="O24" s="5" t="str">
        <f>IF('Hakediş Takip'!C24&lt;&gt;"", 'Hakediş Takip'!O24, "")</f>
        <v/>
      </c>
      <c r="P24" s="5" t="str">
        <f>IF('Hakediş Takip'!C24&lt;&gt;"", 'Hakediş Takip'!P24, "")</f>
        <v/>
      </c>
      <c r="Q24" s="5" t="str">
        <f>IF('Hakediş Takip'!C24&lt;&gt;"", 'Hakediş Takip'!Q24, "")</f>
        <v/>
      </c>
      <c r="R24" s="5" t="str">
        <f>IF('Hakediş Takip'!C24&lt;&gt;"", 'Hakediş Takip'!R24, "")</f>
        <v/>
      </c>
      <c r="S24" s="5" t="str">
        <f>IF('Hakediş Takip'!C24&lt;&gt;"", 'Hakediş Takip'!S24, "")</f>
        <v/>
      </c>
      <c r="T24" s="5" t="str">
        <f>IF('Hakediş Takip'!C24&lt;&gt;"", 'Hakediş Takip'!T24, "")</f>
        <v/>
      </c>
      <c r="U24" s="5" t="str">
        <f>IF('Hakediş Takip'!C24&lt;&gt;"", 'Hakediş Takip'!U24, "")</f>
        <v/>
      </c>
      <c r="V24" s="5" t="str">
        <f>IF('Hakediş Takip'!C24&lt;&gt;"", 'Hakediş Takip'!V24, "")</f>
        <v/>
      </c>
      <c r="W24" s="5" t="str">
        <f>IF('Hakediş Takip'!C24&lt;&gt;"", 'Hakediş Takip'!W24, "")</f>
        <v/>
      </c>
      <c r="X24" s="5" t="str">
        <f>IF('Hakediş Takip'!C24&lt;&gt;"", 'Hakediş Takip'!X24, "")</f>
        <v/>
      </c>
      <c r="Y24" s="5" t="str">
        <f>IF('Hakediş Takip'!C24&lt;&gt;"", 'Hakediş Takip'!Y24, "")</f>
        <v/>
      </c>
      <c r="Z24" s="5" t="str">
        <f>IF('Hakediş Takip'!C24&lt;&gt;"", 'Hakediş Takip'!Z24, "")</f>
        <v/>
      </c>
      <c r="AA24" s="5" t="str">
        <f>IF('Hakediş Takip'!C24&lt;&gt;"", 'Hakediş Takip'!AA24, "")</f>
        <v/>
      </c>
      <c r="AB24" s="5" t="str">
        <f>IF('Hakediş Takip'!C24&lt;&gt;"", 'Hakediş Takip'!AB24, "")</f>
        <v/>
      </c>
      <c r="AC24" s="5" t="str">
        <f>IF('Hakediş Takip'!C24&lt;&gt;"", 'Hakediş Takip'!AC24, "")</f>
        <v/>
      </c>
      <c r="AD24" s="5" t="str">
        <f>IF('Hakediş Takip'!C24&lt;&gt;"", 'Hakediş Takip'!AD24, "")</f>
        <v/>
      </c>
      <c r="AE24" s="5" t="str">
        <f>IF('Hakediş Takip'!C24&lt;&gt;"", 'Hakediş Takip'!AE24, "")</f>
        <v/>
      </c>
      <c r="AF24" s="5" t="str">
        <f>IF('Hakediş Takip'!C24&lt;&gt;"", 'Hakediş Takip'!AF24, "")</f>
        <v/>
      </c>
      <c r="AG24" s="5" t="str">
        <f>IF('Hakediş Takip'!C24&lt;&gt;"", 'Hakediş Takip'!AG24, "")</f>
        <v/>
      </c>
      <c r="AH24" s="5" t="str">
        <f>IF('Hakediş Takip'!C24&lt;&gt;"", 'Hakediş Takip'!AH24, "")</f>
        <v/>
      </c>
      <c r="AI24" s="5" t="str">
        <f>IF('Hakediş Takip'!C24&lt;&gt;"", 'Hakediş Takip'!AI24, "")</f>
        <v/>
      </c>
      <c r="AJ24" s="5" t="str">
        <f>IF('Hakediş Takip'!C24&lt;&gt;"", 'Hakediş Takip'!AJ24, "")</f>
        <v/>
      </c>
      <c r="AK24" s="5" t="str">
        <f>IF('Hakediş Takip'!C24&lt;&gt;"", 'Hakediş Takip'!AK24, "")</f>
        <v/>
      </c>
      <c r="AL24" s="5" t="str">
        <f>IF('Hakediş Takip'!C24&lt;&gt;"", 'Hakediş Takip'!AL24, "")</f>
        <v/>
      </c>
      <c r="AM24" s="5" t="str">
        <f>IF('Hakediş Takip'!C24&lt;&gt;"", 'Hakediş Takip'!AM24, "")</f>
        <v/>
      </c>
      <c r="AN24" s="5" t="str">
        <f>IF('Hakediş Takip'!C24&lt;&gt;"", 'Hakediş Takip'!AN24, "")</f>
        <v/>
      </c>
      <c r="AO24" s="5" t="str">
        <f>IF('Hakediş Takip'!C24&lt;&gt;"", 'Hakediş Takip'!AO24, "")</f>
        <v/>
      </c>
      <c r="AP24" s="5" t="str">
        <f>IF('Hakediş Takip'!C24&lt;&gt;"", 'Hakediş Takip'!AP24, "")</f>
        <v/>
      </c>
      <c r="AQ24" s="5" t="str">
        <f>IF('Hakediş Takip'!C24&lt;&gt;"", 'Hakediş Takip'!AQ24, "")</f>
        <v/>
      </c>
      <c r="AR24" s="5" t="str">
        <f>IF('Hakediş Takip'!C24&lt;&gt;"", 'Hakediş Takip'!AR24, "")</f>
        <v/>
      </c>
      <c r="AS24" s="5" t="str">
        <f>IF('Hakediş Takip'!C24&lt;&gt;"", 'Hakediş Takip'!AS24, "")</f>
        <v/>
      </c>
      <c r="AT24" s="5" t="str">
        <f>IF('Hakediş Takip'!C24&lt;&gt;"", 'Hakediş Takip'!AT24, "")</f>
        <v/>
      </c>
      <c r="AU24" s="5" t="str">
        <f>IF('Hakediş Takip'!C24&lt;&gt;"", 'Hakediş Takip'!AU24, "")</f>
        <v/>
      </c>
      <c r="AV24" s="5" t="str">
        <f>IF('Hakediş Takip'!C24&lt;&gt;"", 'Hakediş Takip'!AV24, "")</f>
        <v/>
      </c>
      <c r="AW24" s="5" t="str">
        <f>IF('Hakediş Takip'!C24&lt;&gt;"", 'Hakediş Takip'!AW24, "")</f>
        <v/>
      </c>
      <c r="AX24" s="5" t="str">
        <f>IF('Hakediş Takip'!C24&lt;&gt;"", 'Hakediş Takip'!AX24, "")</f>
        <v/>
      </c>
      <c r="AY24" s="5" t="str">
        <f>IF('Hakediş Takip'!C24&lt;&gt;"", 'Hakediş Takip'!AY24, "")</f>
        <v/>
      </c>
      <c r="AZ24" s="5" t="str">
        <f>IF('Hakediş Takip'!C24&lt;&gt;"", 'Hakediş Takip'!AZ24, "")</f>
        <v/>
      </c>
      <c r="BA24" s="5" t="str">
        <f>IF('Hakediş Takip'!C24&lt;&gt;"", 'Hakediş Takip'!BA24, "")</f>
        <v/>
      </c>
      <c r="BB24" s="5" t="str">
        <f>IF('Hakediş Takip'!C24&lt;&gt;"", 'Hakediş Takip'!BB24, "")</f>
        <v/>
      </c>
      <c r="BC24" s="5" t="str">
        <f>IF('Hakediş Takip'!C24&lt;&gt;"", 'Hakediş Takip'!BC24, "")</f>
        <v/>
      </c>
      <c r="BD24" s="5" t="str">
        <f>IF('Hakediş Takip'!C24&lt;&gt;"", 'Hakediş Takip'!BD24, "")</f>
        <v/>
      </c>
      <c r="BE24" s="5" t="str">
        <f>IF('Hakediş Takip'!C24&lt;&gt;"", 'Hakediş Takip'!BE24, "")</f>
        <v/>
      </c>
      <c r="BF24" s="5" t="str">
        <f>IF('Hakediş Takip'!C24&lt;&gt;"", 'Hakediş Takip'!BF24, "")</f>
        <v/>
      </c>
      <c r="BG24" s="5" t="str">
        <f>IF('Hakediş Takip'!C24&lt;&gt;"", 'Hakediş Takip'!BG24, "")</f>
        <v/>
      </c>
      <c r="BH24" s="5" t="str">
        <f>IF('Hakediş Takip'!C24&lt;&gt;"", 'Hakediş Takip'!BH24, "")</f>
        <v/>
      </c>
      <c r="BI24" s="5" t="str">
        <f>IF('Hakediş Takip'!C24&lt;&gt;"", 'Hakediş Takip'!BI24, "")</f>
        <v/>
      </c>
      <c r="BJ24" s="5" t="str">
        <f>IF('Hakediş Takip'!C24&lt;&gt;"", 'Hakediş Takip'!BJ24, "")</f>
        <v/>
      </c>
      <c r="BK24" s="5" t="str">
        <f>IF('Hakediş Takip'!C24&lt;&gt;"", 'Hakediş Takip'!BK24, "")</f>
        <v/>
      </c>
      <c r="BL24" s="5" t="str">
        <f>IF('Hakediş Takip'!C24&lt;&gt;"", 'Hakediş Takip'!BL24, "")</f>
        <v/>
      </c>
      <c r="BM24" s="5" t="str">
        <f>IF('Hakediş Takip'!C24&lt;&gt;"", 'Hakediş Takip'!BM24, "")</f>
        <v/>
      </c>
      <c r="BN24" s="5" t="str">
        <f>IF('Hakediş Takip'!C24&lt;&gt;"", 'Hakediş Takip'!BN24, "")</f>
        <v/>
      </c>
      <c r="BO24" s="5" t="str">
        <f>IF('Hakediş Takip'!C24&lt;&gt;"", 'Hakediş Takip'!BO24, "")</f>
        <v/>
      </c>
      <c r="BP24" s="5" t="str">
        <f>IF('Hakediş Takip'!C24&lt;&gt;"", 'Hakediş Takip'!BP24, "")</f>
        <v/>
      </c>
      <c r="BQ24" s="3"/>
    </row>
    <row r="25" spans="1:69" ht="19.95" customHeight="1" x14ac:dyDescent="0.3">
      <c r="A25" s="21" t="str">
        <f>IF('Hakediş Takip'!C25&lt;&gt;"", 'Hakediş Takip'!A25, "")</f>
        <v/>
      </c>
      <c r="B25" s="5" t="str">
        <f>IF('Hakediş Takip'!C25&lt;&gt;"", 'Hakediş Takip'!B25, "")</f>
        <v/>
      </c>
      <c r="C25" s="5" t="str">
        <f>IF('Hakediş Takip'!C25&lt;&gt;"", 'Hakediş Takip'!C25, "")</f>
        <v/>
      </c>
      <c r="D25" s="5" t="str">
        <f>IF('Hakediş Takip'!C25&lt;&gt;"", 'Hakediş Takip'!D25, "")</f>
        <v/>
      </c>
      <c r="E25" s="5" t="str">
        <f>IF('Hakediş Takip'!C25&lt;&gt;"", 'Hakediş Takip'!E25, "")</f>
        <v/>
      </c>
      <c r="F25" s="5" t="str">
        <f>IF('Hakediş Takip'!C25&lt;&gt;"", 'Hakediş Takip'!F25, "")</f>
        <v/>
      </c>
      <c r="G25" s="5" t="str">
        <f>IF('Hakediş Takip'!C25&lt;&gt;"", 'Hakediş Takip'!G25, "")</f>
        <v/>
      </c>
      <c r="H25" s="5" t="str">
        <f>IF('Hakediş Takip'!C25&lt;&gt;"", 'Hakediş Takip'!H25, "")</f>
        <v/>
      </c>
      <c r="I25" s="5" t="str">
        <f>IF('Hakediş Takip'!C25&lt;&gt;"", 'Hakediş Takip'!I25, "")</f>
        <v/>
      </c>
      <c r="J25" s="5" t="str">
        <f>IF('Hakediş Takip'!C25&lt;&gt;"", 'Hakediş Takip'!J25, "")</f>
        <v/>
      </c>
      <c r="K25" s="5" t="str">
        <f>IF('Hakediş Takip'!C25&lt;&gt;"", 'Hakediş Takip'!K25, "")</f>
        <v/>
      </c>
      <c r="L25" s="5" t="str">
        <f>IF('Hakediş Takip'!C25&lt;&gt;"", 'Hakediş Takip'!L25, "")</f>
        <v/>
      </c>
      <c r="M25" s="5" t="str">
        <f>IF('Hakediş Takip'!C25&lt;&gt;"", 'Hakediş Takip'!M25, "")</f>
        <v/>
      </c>
      <c r="N25" s="5" t="str">
        <f>IF('Hakediş Takip'!C25&lt;&gt;"", 'Hakediş Takip'!N25, "")</f>
        <v/>
      </c>
      <c r="O25" s="5" t="str">
        <f>IF('Hakediş Takip'!C25&lt;&gt;"", 'Hakediş Takip'!O25, "")</f>
        <v/>
      </c>
      <c r="P25" s="5" t="str">
        <f>IF('Hakediş Takip'!C25&lt;&gt;"", 'Hakediş Takip'!P25, "")</f>
        <v/>
      </c>
      <c r="Q25" s="5" t="str">
        <f>IF('Hakediş Takip'!C25&lt;&gt;"", 'Hakediş Takip'!Q25, "")</f>
        <v/>
      </c>
      <c r="R25" s="5" t="str">
        <f>IF('Hakediş Takip'!C25&lt;&gt;"", 'Hakediş Takip'!R25, "")</f>
        <v/>
      </c>
      <c r="S25" s="5" t="str">
        <f>IF('Hakediş Takip'!C25&lt;&gt;"", 'Hakediş Takip'!S25, "")</f>
        <v/>
      </c>
      <c r="T25" s="5" t="str">
        <f>IF('Hakediş Takip'!C25&lt;&gt;"", 'Hakediş Takip'!T25, "")</f>
        <v/>
      </c>
      <c r="U25" s="5" t="str">
        <f>IF('Hakediş Takip'!C25&lt;&gt;"", 'Hakediş Takip'!U25, "")</f>
        <v/>
      </c>
      <c r="V25" s="5" t="str">
        <f>IF('Hakediş Takip'!C25&lt;&gt;"", 'Hakediş Takip'!V25, "")</f>
        <v/>
      </c>
      <c r="W25" s="5" t="str">
        <f>IF('Hakediş Takip'!C25&lt;&gt;"", 'Hakediş Takip'!W25, "")</f>
        <v/>
      </c>
      <c r="X25" s="5" t="str">
        <f>IF('Hakediş Takip'!C25&lt;&gt;"", 'Hakediş Takip'!X25, "")</f>
        <v/>
      </c>
      <c r="Y25" s="5" t="str">
        <f>IF('Hakediş Takip'!C25&lt;&gt;"", 'Hakediş Takip'!Y25, "")</f>
        <v/>
      </c>
      <c r="Z25" s="5" t="str">
        <f>IF('Hakediş Takip'!C25&lt;&gt;"", 'Hakediş Takip'!Z25, "")</f>
        <v/>
      </c>
      <c r="AA25" s="5" t="str">
        <f>IF('Hakediş Takip'!C25&lt;&gt;"", 'Hakediş Takip'!AA25, "")</f>
        <v/>
      </c>
      <c r="AB25" s="5" t="str">
        <f>IF('Hakediş Takip'!C25&lt;&gt;"", 'Hakediş Takip'!AB25, "")</f>
        <v/>
      </c>
      <c r="AC25" s="5" t="str">
        <f>IF('Hakediş Takip'!C25&lt;&gt;"", 'Hakediş Takip'!AC25, "")</f>
        <v/>
      </c>
      <c r="AD25" s="5" t="str">
        <f>IF('Hakediş Takip'!C25&lt;&gt;"", 'Hakediş Takip'!AD25, "")</f>
        <v/>
      </c>
      <c r="AE25" s="5" t="str">
        <f>IF('Hakediş Takip'!C25&lt;&gt;"", 'Hakediş Takip'!AE25, "")</f>
        <v/>
      </c>
      <c r="AF25" s="5" t="str">
        <f>IF('Hakediş Takip'!C25&lt;&gt;"", 'Hakediş Takip'!AF25, "")</f>
        <v/>
      </c>
      <c r="AG25" s="5" t="str">
        <f>IF('Hakediş Takip'!C25&lt;&gt;"", 'Hakediş Takip'!AG25, "")</f>
        <v/>
      </c>
      <c r="AH25" s="5" t="str">
        <f>IF('Hakediş Takip'!C25&lt;&gt;"", 'Hakediş Takip'!AH25, "")</f>
        <v/>
      </c>
      <c r="AI25" s="5" t="str">
        <f>IF('Hakediş Takip'!C25&lt;&gt;"", 'Hakediş Takip'!AI25, "")</f>
        <v/>
      </c>
      <c r="AJ25" s="5" t="str">
        <f>IF('Hakediş Takip'!C25&lt;&gt;"", 'Hakediş Takip'!AJ25, "")</f>
        <v/>
      </c>
      <c r="AK25" s="5" t="str">
        <f>IF('Hakediş Takip'!C25&lt;&gt;"", 'Hakediş Takip'!AK25, "")</f>
        <v/>
      </c>
      <c r="AL25" s="5" t="str">
        <f>IF('Hakediş Takip'!C25&lt;&gt;"", 'Hakediş Takip'!AL25, "")</f>
        <v/>
      </c>
      <c r="AM25" s="5" t="str">
        <f>IF('Hakediş Takip'!C25&lt;&gt;"", 'Hakediş Takip'!AM25, "")</f>
        <v/>
      </c>
      <c r="AN25" s="5" t="str">
        <f>IF('Hakediş Takip'!C25&lt;&gt;"", 'Hakediş Takip'!AN25, "")</f>
        <v/>
      </c>
      <c r="AO25" s="5" t="str">
        <f>IF('Hakediş Takip'!C25&lt;&gt;"", 'Hakediş Takip'!AO25, "")</f>
        <v/>
      </c>
      <c r="AP25" s="5" t="str">
        <f>IF('Hakediş Takip'!C25&lt;&gt;"", 'Hakediş Takip'!AP25, "")</f>
        <v/>
      </c>
      <c r="AQ25" s="5" t="str">
        <f>IF('Hakediş Takip'!C25&lt;&gt;"", 'Hakediş Takip'!AQ25, "")</f>
        <v/>
      </c>
      <c r="AR25" s="5" t="str">
        <f>IF('Hakediş Takip'!C25&lt;&gt;"", 'Hakediş Takip'!AR25, "")</f>
        <v/>
      </c>
      <c r="AS25" s="5" t="str">
        <f>IF('Hakediş Takip'!C25&lt;&gt;"", 'Hakediş Takip'!AS25, "")</f>
        <v/>
      </c>
      <c r="AT25" s="5" t="str">
        <f>IF('Hakediş Takip'!C25&lt;&gt;"", 'Hakediş Takip'!AT25, "")</f>
        <v/>
      </c>
      <c r="AU25" s="5" t="str">
        <f>IF('Hakediş Takip'!C25&lt;&gt;"", 'Hakediş Takip'!AU25, "")</f>
        <v/>
      </c>
      <c r="AV25" s="5" t="str">
        <f>IF('Hakediş Takip'!C25&lt;&gt;"", 'Hakediş Takip'!AV25, "")</f>
        <v/>
      </c>
      <c r="AW25" s="5" t="str">
        <f>IF('Hakediş Takip'!C25&lt;&gt;"", 'Hakediş Takip'!AW25, "")</f>
        <v/>
      </c>
      <c r="AX25" s="5" t="str">
        <f>IF('Hakediş Takip'!C25&lt;&gt;"", 'Hakediş Takip'!AX25, "")</f>
        <v/>
      </c>
      <c r="AY25" s="5" t="str">
        <f>IF('Hakediş Takip'!C25&lt;&gt;"", 'Hakediş Takip'!AY25, "")</f>
        <v/>
      </c>
      <c r="AZ25" s="5" t="str">
        <f>IF('Hakediş Takip'!C25&lt;&gt;"", 'Hakediş Takip'!AZ25, "")</f>
        <v/>
      </c>
      <c r="BA25" s="5" t="str">
        <f>IF('Hakediş Takip'!C25&lt;&gt;"", 'Hakediş Takip'!BA25, "")</f>
        <v/>
      </c>
      <c r="BB25" s="5" t="str">
        <f>IF('Hakediş Takip'!C25&lt;&gt;"", 'Hakediş Takip'!BB25, "")</f>
        <v/>
      </c>
      <c r="BC25" s="5" t="str">
        <f>IF('Hakediş Takip'!C25&lt;&gt;"", 'Hakediş Takip'!BC25, "")</f>
        <v/>
      </c>
      <c r="BD25" s="5" t="str">
        <f>IF('Hakediş Takip'!C25&lt;&gt;"", 'Hakediş Takip'!BD25, "")</f>
        <v/>
      </c>
      <c r="BE25" s="5" t="str">
        <f>IF('Hakediş Takip'!C25&lt;&gt;"", 'Hakediş Takip'!BE25, "")</f>
        <v/>
      </c>
      <c r="BF25" s="5" t="str">
        <f>IF('Hakediş Takip'!C25&lt;&gt;"", 'Hakediş Takip'!BF25, "")</f>
        <v/>
      </c>
      <c r="BG25" s="5" t="str">
        <f>IF('Hakediş Takip'!C25&lt;&gt;"", 'Hakediş Takip'!BG25, "")</f>
        <v/>
      </c>
      <c r="BH25" s="5" t="str">
        <f>IF('Hakediş Takip'!C25&lt;&gt;"", 'Hakediş Takip'!BH25, "")</f>
        <v/>
      </c>
      <c r="BI25" s="5" t="str">
        <f>IF('Hakediş Takip'!C25&lt;&gt;"", 'Hakediş Takip'!BI25, "")</f>
        <v/>
      </c>
      <c r="BJ25" s="5" t="str">
        <f>IF('Hakediş Takip'!C25&lt;&gt;"", 'Hakediş Takip'!BJ25, "")</f>
        <v/>
      </c>
      <c r="BK25" s="5" t="str">
        <f>IF('Hakediş Takip'!C25&lt;&gt;"", 'Hakediş Takip'!BK25, "")</f>
        <v/>
      </c>
      <c r="BL25" s="5" t="str">
        <f>IF('Hakediş Takip'!C25&lt;&gt;"", 'Hakediş Takip'!BL25, "")</f>
        <v/>
      </c>
      <c r="BM25" s="5" t="str">
        <f>IF('Hakediş Takip'!C25&lt;&gt;"", 'Hakediş Takip'!BM25, "")</f>
        <v/>
      </c>
      <c r="BN25" s="5" t="str">
        <f>IF('Hakediş Takip'!C25&lt;&gt;"", 'Hakediş Takip'!BN25, "")</f>
        <v/>
      </c>
      <c r="BO25" s="5" t="str">
        <f>IF('Hakediş Takip'!C25&lt;&gt;"", 'Hakediş Takip'!BO25, "")</f>
        <v/>
      </c>
      <c r="BP25" s="5" t="str">
        <f>IF('Hakediş Takip'!C25&lt;&gt;"", 'Hakediş Takip'!BP25, "")</f>
        <v/>
      </c>
      <c r="BQ25" s="3"/>
    </row>
    <row r="26" spans="1:69" ht="19.95" customHeight="1" x14ac:dyDescent="0.3">
      <c r="A26" s="21" t="str">
        <f>IF('Hakediş Takip'!C26&lt;&gt;"", 'Hakediş Takip'!A26, "")</f>
        <v/>
      </c>
      <c r="B26" s="5" t="str">
        <f>IF('Hakediş Takip'!C26&lt;&gt;"", 'Hakediş Takip'!B26, "")</f>
        <v/>
      </c>
      <c r="C26" s="5" t="str">
        <f>IF('Hakediş Takip'!C26&lt;&gt;"", 'Hakediş Takip'!C26, "")</f>
        <v/>
      </c>
      <c r="D26" s="5" t="str">
        <f>IF('Hakediş Takip'!C26&lt;&gt;"", 'Hakediş Takip'!D26, "")</f>
        <v/>
      </c>
      <c r="E26" s="5" t="str">
        <f>IF('Hakediş Takip'!C26&lt;&gt;"", 'Hakediş Takip'!E26, "")</f>
        <v/>
      </c>
      <c r="F26" s="5" t="str">
        <f>IF('Hakediş Takip'!C26&lt;&gt;"", 'Hakediş Takip'!F26, "")</f>
        <v/>
      </c>
      <c r="G26" s="5" t="str">
        <f>IF('Hakediş Takip'!C26&lt;&gt;"", 'Hakediş Takip'!G26, "")</f>
        <v/>
      </c>
      <c r="H26" s="5" t="str">
        <f>IF('Hakediş Takip'!C26&lt;&gt;"", 'Hakediş Takip'!H26, "")</f>
        <v/>
      </c>
      <c r="I26" s="5" t="str">
        <f>IF('Hakediş Takip'!C26&lt;&gt;"", 'Hakediş Takip'!I26, "")</f>
        <v/>
      </c>
      <c r="J26" s="5" t="str">
        <f>IF('Hakediş Takip'!C26&lt;&gt;"", 'Hakediş Takip'!J26, "")</f>
        <v/>
      </c>
      <c r="K26" s="5" t="str">
        <f>IF('Hakediş Takip'!C26&lt;&gt;"", 'Hakediş Takip'!K26, "")</f>
        <v/>
      </c>
      <c r="L26" s="5" t="str">
        <f>IF('Hakediş Takip'!C26&lt;&gt;"", 'Hakediş Takip'!L26, "")</f>
        <v/>
      </c>
      <c r="M26" s="5" t="str">
        <f>IF('Hakediş Takip'!C26&lt;&gt;"", 'Hakediş Takip'!M26, "")</f>
        <v/>
      </c>
      <c r="N26" s="5" t="str">
        <f>IF('Hakediş Takip'!C26&lt;&gt;"", 'Hakediş Takip'!N26, "")</f>
        <v/>
      </c>
      <c r="O26" s="5" t="str">
        <f>IF('Hakediş Takip'!C26&lt;&gt;"", 'Hakediş Takip'!O26, "")</f>
        <v/>
      </c>
      <c r="P26" s="5" t="str">
        <f>IF('Hakediş Takip'!C26&lt;&gt;"", 'Hakediş Takip'!P26, "")</f>
        <v/>
      </c>
      <c r="Q26" s="5" t="str">
        <f>IF('Hakediş Takip'!C26&lt;&gt;"", 'Hakediş Takip'!Q26, "")</f>
        <v/>
      </c>
      <c r="R26" s="5" t="str">
        <f>IF('Hakediş Takip'!C26&lt;&gt;"", 'Hakediş Takip'!R26, "")</f>
        <v/>
      </c>
      <c r="S26" s="5" t="str">
        <f>IF('Hakediş Takip'!C26&lt;&gt;"", 'Hakediş Takip'!S26, "")</f>
        <v/>
      </c>
      <c r="T26" s="5" t="str">
        <f>IF('Hakediş Takip'!C26&lt;&gt;"", 'Hakediş Takip'!T26, "")</f>
        <v/>
      </c>
      <c r="U26" s="5" t="str">
        <f>IF('Hakediş Takip'!C26&lt;&gt;"", 'Hakediş Takip'!U26, "")</f>
        <v/>
      </c>
      <c r="V26" s="5" t="str">
        <f>IF('Hakediş Takip'!C26&lt;&gt;"", 'Hakediş Takip'!V26, "")</f>
        <v/>
      </c>
      <c r="W26" s="5" t="str">
        <f>IF('Hakediş Takip'!C26&lt;&gt;"", 'Hakediş Takip'!W26, "")</f>
        <v/>
      </c>
      <c r="X26" s="5" t="str">
        <f>IF('Hakediş Takip'!C26&lt;&gt;"", 'Hakediş Takip'!X26, "")</f>
        <v/>
      </c>
      <c r="Y26" s="5" t="str">
        <f>IF('Hakediş Takip'!C26&lt;&gt;"", 'Hakediş Takip'!Y26, "")</f>
        <v/>
      </c>
      <c r="Z26" s="5" t="str">
        <f>IF('Hakediş Takip'!C26&lt;&gt;"", 'Hakediş Takip'!Z26, "")</f>
        <v/>
      </c>
      <c r="AA26" s="5" t="str">
        <f>IF('Hakediş Takip'!C26&lt;&gt;"", 'Hakediş Takip'!AA26, "")</f>
        <v/>
      </c>
      <c r="AB26" s="5" t="str">
        <f>IF('Hakediş Takip'!C26&lt;&gt;"", 'Hakediş Takip'!AB26, "")</f>
        <v/>
      </c>
      <c r="AC26" s="5" t="str">
        <f>IF('Hakediş Takip'!C26&lt;&gt;"", 'Hakediş Takip'!AC26, "")</f>
        <v/>
      </c>
      <c r="AD26" s="5" t="str">
        <f>IF('Hakediş Takip'!C26&lt;&gt;"", 'Hakediş Takip'!AD26, "")</f>
        <v/>
      </c>
      <c r="AE26" s="5" t="str">
        <f>IF('Hakediş Takip'!C26&lt;&gt;"", 'Hakediş Takip'!AE26, "")</f>
        <v/>
      </c>
      <c r="AF26" s="5" t="str">
        <f>IF('Hakediş Takip'!C26&lt;&gt;"", 'Hakediş Takip'!AF26, "")</f>
        <v/>
      </c>
      <c r="AG26" s="5" t="str">
        <f>IF('Hakediş Takip'!C26&lt;&gt;"", 'Hakediş Takip'!AG26, "")</f>
        <v/>
      </c>
      <c r="AH26" s="5" t="str">
        <f>IF('Hakediş Takip'!C26&lt;&gt;"", 'Hakediş Takip'!AH26, "")</f>
        <v/>
      </c>
      <c r="AI26" s="5" t="str">
        <f>IF('Hakediş Takip'!C26&lt;&gt;"", 'Hakediş Takip'!AI26, "")</f>
        <v/>
      </c>
      <c r="AJ26" s="5" t="str">
        <f>IF('Hakediş Takip'!C26&lt;&gt;"", 'Hakediş Takip'!AJ26, "")</f>
        <v/>
      </c>
      <c r="AK26" s="5" t="str">
        <f>IF('Hakediş Takip'!C26&lt;&gt;"", 'Hakediş Takip'!AK26, "")</f>
        <v/>
      </c>
      <c r="AL26" s="5" t="str">
        <f>IF('Hakediş Takip'!C26&lt;&gt;"", 'Hakediş Takip'!AL26, "")</f>
        <v/>
      </c>
      <c r="AM26" s="5" t="str">
        <f>IF('Hakediş Takip'!C26&lt;&gt;"", 'Hakediş Takip'!AM26, "")</f>
        <v/>
      </c>
      <c r="AN26" s="5" t="str">
        <f>IF('Hakediş Takip'!C26&lt;&gt;"", 'Hakediş Takip'!AN26, "")</f>
        <v/>
      </c>
      <c r="AO26" s="5" t="str">
        <f>IF('Hakediş Takip'!C26&lt;&gt;"", 'Hakediş Takip'!AO26, "")</f>
        <v/>
      </c>
      <c r="AP26" s="5" t="str">
        <f>IF('Hakediş Takip'!C26&lt;&gt;"", 'Hakediş Takip'!AP26, "")</f>
        <v/>
      </c>
      <c r="AQ26" s="5" t="str">
        <f>IF('Hakediş Takip'!C26&lt;&gt;"", 'Hakediş Takip'!AQ26, "")</f>
        <v/>
      </c>
      <c r="AR26" s="5" t="str">
        <f>IF('Hakediş Takip'!C26&lt;&gt;"", 'Hakediş Takip'!AR26, "")</f>
        <v/>
      </c>
      <c r="AS26" s="5" t="str">
        <f>IF('Hakediş Takip'!C26&lt;&gt;"", 'Hakediş Takip'!AS26, "")</f>
        <v/>
      </c>
      <c r="AT26" s="5" t="str">
        <f>IF('Hakediş Takip'!C26&lt;&gt;"", 'Hakediş Takip'!AT26, "")</f>
        <v/>
      </c>
      <c r="AU26" s="5" t="str">
        <f>IF('Hakediş Takip'!C26&lt;&gt;"", 'Hakediş Takip'!AU26, "")</f>
        <v/>
      </c>
      <c r="AV26" s="5" t="str">
        <f>IF('Hakediş Takip'!C26&lt;&gt;"", 'Hakediş Takip'!AV26, "")</f>
        <v/>
      </c>
      <c r="AW26" s="5" t="str">
        <f>IF('Hakediş Takip'!C26&lt;&gt;"", 'Hakediş Takip'!AW26, "")</f>
        <v/>
      </c>
      <c r="AX26" s="5" t="str">
        <f>IF('Hakediş Takip'!C26&lt;&gt;"", 'Hakediş Takip'!AX26, "")</f>
        <v/>
      </c>
      <c r="AY26" s="5" t="str">
        <f>IF('Hakediş Takip'!C26&lt;&gt;"", 'Hakediş Takip'!AY26, "")</f>
        <v/>
      </c>
      <c r="AZ26" s="5" t="str">
        <f>IF('Hakediş Takip'!C26&lt;&gt;"", 'Hakediş Takip'!AZ26, "")</f>
        <v/>
      </c>
      <c r="BA26" s="5" t="str">
        <f>IF('Hakediş Takip'!C26&lt;&gt;"", 'Hakediş Takip'!BA26, "")</f>
        <v/>
      </c>
      <c r="BB26" s="5" t="str">
        <f>IF('Hakediş Takip'!C26&lt;&gt;"", 'Hakediş Takip'!BB26, "")</f>
        <v/>
      </c>
      <c r="BC26" s="5" t="str">
        <f>IF('Hakediş Takip'!C26&lt;&gt;"", 'Hakediş Takip'!BC26, "")</f>
        <v/>
      </c>
      <c r="BD26" s="5" t="str">
        <f>IF('Hakediş Takip'!C26&lt;&gt;"", 'Hakediş Takip'!BD26, "")</f>
        <v/>
      </c>
      <c r="BE26" s="5" t="str">
        <f>IF('Hakediş Takip'!C26&lt;&gt;"", 'Hakediş Takip'!BE26, "")</f>
        <v/>
      </c>
      <c r="BF26" s="5" t="str">
        <f>IF('Hakediş Takip'!C26&lt;&gt;"", 'Hakediş Takip'!BF26, "")</f>
        <v/>
      </c>
      <c r="BG26" s="5" t="str">
        <f>IF('Hakediş Takip'!C26&lt;&gt;"", 'Hakediş Takip'!BG26, "")</f>
        <v/>
      </c>
      <c r="BH26" s="5" t="str">
        <f>IF('Hakediş Takip'!C26&lt;&gt;"", 'Hakediş Takip'!BH26, "")</f>
        <v/>
      </c>
      <c r="BI26" s="5" t="str">
        <f>IF('Hakediş Takip'!C26&lt;&gt;"", 'Hakediş Takip'!BI26, "")</f>
        <v/>
      </c>
      <c r="BJ26" s="5" t="str">
        <f>IF('Hakediş Takip'!C26&lt;&gt;"", 'Hakediş Takip'!BJ26, "")</f>
        <v/>
      </c>
      <c r="BK26" s="5" t="str">
        <f>IF('Hakediş Takip'!C26&lt;&gt;"", 'Hakediş Takip'!BK26, "")</f>
        <v/>
      </c>
      <c r="BL26" s="5" t="str">
        <f>IF('Hakediş Takip'!C26&lt;&gt;"", 'Hakediş Takip'!BL26, "")</f>
        <v/>
      </c>
      <c r="BM26" s="5" t="str">
        <f>IF('Hakediş Takip'!C26&lt;&gt;"", 'Hakediş Takip'!BM26, "")</f>
        <v/>
      </c>
      <c r="BN26" s="5" t="str">
        <f>IF('Hakediş Takip'!C26&lt;&gt;"", 'Hakediş Takip'!BN26, "")</f>
        <v/>
      </c>
      <c r="BO26" s="5" t="str">
        <f>IF('Hakediş Takip'!C26&lt;&gt;"", 'Hakediş Takip'!BO26, "")</f>
        <v/>
      </c>
      <c r="BP26" s="5" t="str">
        <f>IF('Hakediş Takip'!C26&lt;&gt;"", 'Hakediş Takip'!BP26, "")</f>
        <v/>
      </c>
      <c r="BQ26" s="3"/>
    </row>
    <row r="27" spans="1:69" ht="19.95" customHeight="1" x14ac:dyDescent="0.3">
      <c r="A27" s="21" t="str">
        <f>IF('Hakediş Takip'!C27&lt;&gt;"", 'Hakediş Takip'!A27, "")</f>
        <v/>
      </c>
      <c r="B27" s="5" t="str">
        <f>IF('Hakediş Takip'!C27&lt;&gt;"", 'Hakediş Takip'!B27, "")</f>
        <v/>
      </c>
      <c r="C27" s="5" t="str">
        <f>IF('Hakediş Takip'!C27&lt;&gt;"", 'Hakediş Takip'!C27, "")</f>
        <v/>
      </c>
      <c r="D27" s="5" t="str">
        <f>IF('Hakediş Takip'!C27&lt;&gt;"", 'Hakediş Takip'!D27, "")</f>
        <v/>
      </c>
      <c r="E27" s="5" t="str">
        <f>IF('Hakediş Takip'!C27&lt;&gt;"", 'Hakediş Takip'!E27, "")</f>
        <v/>
      </c>
      <c r="F27" s="5" t="str">
        <f>IF('Hakediş Takip'!C27&lt;&gt;"", 'Hakediş Takip'!F27, "")</f>
        <v/>
      </c>
      <c r="G27" s="5" t="str">
        <f>IF('Hakediş Takip'!C27&lt;&gt;"", 'Hakediş Takip'!G27, "")</f>
        <v/>
      </c>
      <c r="H27" s="5" t="str">
        <f>IF('Hakediş Takip'!C27&lt;&gt;"", 'Hakediş Takip'!H27, "")</f>
        <v/>
      </c>
      <c r="I27" s="5" t="str">
        <f>IF('Hakediş Takip'!C27&lt;&gt;"", 'Hakediş Takip'!I27, "")</f>
        <v/>
      </c>
      <c r="J27" s="5" t="str">
        <f>IF('Hakediş Takip'!C27&lt;&gt;"", 'Hakediş Takip'!J27, "")</f>
        <v/>
      </c>
      <c r="K27" s="5" t="str">
        <f>IF('Hakediş Takip'!C27&lt;&gt;"", 'Hakediş Takip'!K27, "")</f>
        <v/>
      </c>
      <c r="L27" s="5" t="str">
        <f>IF('Hakediş Takip'!C27&lt;&gt;"", 'Hakediş Takip'!L27, "")</f>
        <v/>
      </c>
      <c r="M27" s="5" t="str">
        <f>IF('Hakediş Takip'!C27&lt;&gt;"", 'Hakediş Takip'!M27, "")</f>
        <v/>
      </c>
      <c r="N27" s="5" t="str">
        <f>IF('Hakediş Takip'!C27&lt;&gt;"", 'Hakediş Takip'!N27, "")</f>
        <v/>
      </c>
      <c r="O27" s="5" t="str">
        <f>IF('Hakediş Takip'!C27&lt;&gt;"", 'Hakediş Takip'!O27, "")</f>
        <v/>
      </c>
      <c r="P27" s="5" t="str">
        <f>IF('Hakediş Takip'!C27&lt;&gt;"", 'Hakediş Takip'!P27, "")</f>
        <v/>
      </c>
      <c r="Q27" s="5" t="str">
        <f>IF('Hakediş Takip'!C27&lt;&gt;"", 'Hakediş Takip'!Q27, "")</f>
        <v/>
      </c>
      <c r="R27" s="5" t="str">
        <f>IF('Hakediş Takip'!C27&lt;&gt;"", 'Hakediş Takip'!R27, "")</f>
        <v/>
      </c>
      <c r="S27" s="5" t="str">
        <f>IF('Hakediş Takip'!C27&lt;&gt;"", 'Hakediş Takip'!S27, "")</f>
        <v/>
      </c>
      <c r="T27" s="5" t="str">
        <f>IF('Hakediş Takip'!C27&lt;&gt;"", 'Hakediş Takip'!T27, "")</f>
        <v/>
      </c>
      <c r="U27" s="5" t="str">
        <f>IF('Hakediş Takip'!C27&lt;&gt;"", 'Hakediş Takip'!U27, "")</f>
        <v/>
      </c>
      <c r="V27" s="5" t="str">
        <f>IF('Hakediş Takip'!C27&lt;&gt;"", 'Hakediş Takip'!V27, "")</f>
        <v/>
      </c>
      <c r="W27" s="5" t="str">
        <f>IF('Hakediş Takip'!C27&lt;&gt;"", 'Hakediş Takip'!W27, "")</f>
        <v/>
      </c>
      <c r="X27" s="5" t="str">
        <f>IF('Hakediş Takip'!C27&lt;&gt;"", 'Hakediş Takip'!X27, "")</f>
        <v/>
      </c>
      <c r="Y27" s="5" t="str">
        <f>IF('Hakediş Takip'!C27&lt;&gt;"", 'Hakediş Takip'!Y27, "")</f>
        <v/>
      </c>
      <c r="Z27" s="5" t="str">
        <f>IF('Hakediş Takip'!C27&lt;&gt;"", 'Hakediş Takip'!Z27, "")</f>
        <v/>
      </c>
      <c r="AA27" s="5" t="str">
        <f>IF('Hakediş Takip'!C27&lt;&gt;"", 'Hakediş Takip'!AA27, "")</f>
        <v/>
      </c>
      <c r="AB27" s="5" t="str">
        <f>IF('Hakediş Takip'!C27&lt;&gt;"", 'Hakediş Takip'!AB27, "")</f>
        <v/>
      </c>
      <c r="AC27" s="5" t="str">
        <f>IF('Hakediş Takip'!C27&lt;&gt;"", 'Hakediş Takip'!AC27, "")</f>
        <v/>
      </c>
      <c r="AD27" s="5" t="str">
        <f>IF('Hakediş Takip'!C27&lt;&gt;"", 'Hakediş Takip'!AD27, "")</f>
        <v/>
      </c>
      <c r="AE27" s="5" t="str">
        <f>IF('Hakediş Takip'!C27&lt;&gt;"", 'Hakediş Takip'!AE27, "")</f>
        <v/>
      </c>
      <c r="AF27" s="5" t="str">
        <f>IF('Hakediş Takip'!C27&lt;&gt;"", 'Hakediş Takip'!AF27, "")</f>
        <v/>
      </c>
      <c r="AG27" s="5" t="str">
        <f>IF('Hakediş Takip'!C27&lt;&gt;"", 'Hakediş Takip'!AG27, "")</f>
        <v/>
      </c>
      <c r="AH27" s="5" t="str">
        <f>IF('Hakediş Takip'!C27&lt;&gt;"", 'Hakediş Takip'!AH27, "")</f>
        <v/>
      </c>
      <c r="AI27" s="5" t="str">
        <f>IF('Hakediş Takip'!C27&lt;&gt;"", 'Hakediş Takip'!AI27, "")</f>
        <v/>
      </c>
      <c r="AJ27" s="5" t="str">
        <f>IF('Hakediş Takip'!C27&lt;&gt;"", 'Hakediş Takip'!AJ27, "")</f>
        <v/>
      </c>
      <c r="AK27" s="5" t="str">
        <f>IF('Hakediş Takip'!C27&lt;&gt;"", 'Hakediş Takip'!AK27, "")</f>
        <v/>
      </c>
      <c r="AL27" s="5" t="str">
        <f>IF('Hakediş Takip'!C27&lt;&gt;"", 'Hakediş Takip'!AL27, "")</f>
        <v/>
      </c>
      <c r="AM27" s="5" t="str">
        <f>IF('Hakediş Takip'!C27&lt;&gt;"", 'Hakediş Takip'!AM27, "")</f>
        <v/>
      </c>
      <c r="AN27" s="5" t="str">
        <f>IF('Hakediş Takip'!C27&lt;&gt;"", 'Hakediş Takip'!AN27, "")</f>
        <v/>
      </c>
      <c r="AO27" s="5" t="str">
        <f>IF('Hakediş Takip'!C27&lt;&gt;"", 'Hakediş Takip'!AO27, "")</f>
        <v/>
      </c>
      <c r="AP27" s="5" t="str">
        <f>IF('Hakediş Takip'!C27&lt;&gt;"", 'Hakediş Takip'!AP27, "")</f>
        <v/>
      </c>
      <c r="AQ27" s="5" t="str">
        <f>IF('Hakediş Takip'!C27&lt;&gt;"", 'Hakediş Takip'!AQ27, "")</f>
        <v/>
      </c>
      <c r="AR27" s="5" t="str">
        <f>IF('Hakediş Takip'!C27&lt;&gt;"", 'Hakediş Takip'!AR27, "")</f>
        <v/>
      </c>
      <c r="AS27" s="5" t="str">
        <f>IF('Hakediş Takip'!C27&lt;&gt;"", 'Hakediş Takip'!AS27, "")</f>
        <v/>
      </c>
      <c r="AT27" s="5" t="str">
        <f>IF('Hakediş Takip'!C27&lt;&gt;"", 'Hakediş Takip'!AT27, "")</f>
        <v/>
      </c>
      <c r="AU27" s="5" t="str">
        <f>IF('Hakediş Takip'!C27&lt;&gt;"", 'Hakediş Takip'!AU27, "")</f>
        <v/>
      </c>
      <c r="AV27" s="5" t="str">
        <f>IF('Hakediş Takip'!C27&lt;&gt;"", 'Hakediş Takip'!AV27, "")</f>
        <v/>
      </c>
      <c r="AW27" s="5" t="str">
        <f>IF('Hakediş Takip'!C27&lt;&gt;"", 'Hakediş Takip'!AW27, "")</f>
        <v/>
      </c>
      <c r="AX27" s="5" t="str">
        <f>IF('Hakediş Takip'!C27&lt;&gt;"", 'Hakediş Takip'!AX27, "")</f>
        <v/>
      </c>
      <c r="AY27" s="5" t="str">
        <f>IF('Hakediş Takip'!C27&lt;&gt;"", 'Hakediş Takip'!AY27, "")</f>
        <v/>
      </c>
      <c r="AZ27" s="5" t="str">
        <f>IF('Hakediş Takip'!C27&lt;&gt;"", 'Hakediş Takip'!AZ27, "")</f>
        <v/>
      </c>
      <c r="BA27" s="5" t="str">
        <f>IF('Hakediş Takip'!C27&lt;&gt;"", 'Hakediş Takip'!BA27, "")</f>
        <v/>
      </c>
      <c r="BB27" s="5" t="str">
        <f>IF('Hakediş Takip'!C27&lt;&gt;"", 'Hakediş Takip'!BB27, "")</f>
        <v/>
      </c>
      <c r="BC27" s="5" t="str">
        <f>IF('Hakediş Takip'!C27&lt;&gt;"", 'Hakediş Takip'!BC27, "")</f>
        <v/>
      </c>
      <c r="BD27" s="5" t="str">
        <f>IF('Hakediş Takip'!C27&lt;&gt;"", 'Hakediş Takip'!BD27, "")</f>
        <v/>
      </c>
      <c r="BE27" s="5" t="str">
        <f>IF('Hakediş Takip'!C27&lt;&gt;"", 'Hakediş Takip'!BE27, "")</f>
        <v/>
      </c>
      <c r="BF27" s="5" t="str">
        <f>IF('Hakediş Takip'!C27&lt;&gt;"", 'Hakediş Takip'!BF27, "")</f>
        <v/>
      </c>
      <c r="BG27" s="5" t="str">
        <f>IF('Hakediş Takip'!C27&lt;&gt;"", 'Hakediş Takip'!BG27, "")</f>
        <v/>
      </c>
      <c r="BH27" s="5" t="str">
        <f>IF('Hakediş Takip'!C27&lt;&gt;"", 'Hakediş Takip'!BH27, "")</f>
        <v/>
      </c>
      <c r="BI27" s="5" t="str">
        <f>IF('Hakediş Takip'!C27&lt;&gt;"", 'Hakediş Takip'!BI27, "")</f>
        <v/>
      </c>
      <c r="BJ27" s="5" t="str">
        <f>IF('Hakediş Takip'!C27&lt;&gt;"", 'Hakediş Takip'!BJ27, "")</f>
        <v/>
      </c>
      <c r="BK27" s="5" t="str">
        <f>IF('Hakediş Takip'!C27&lt;&gt;"", 'Hakediş Takip'!BK27, "")</f>
        <v/>
      </c>
      <c r="BL27" s="5" t="str">
        <f>IF('Hakediş Takip'!C27&lt;&gt;"", 'Hakediş Takip'!BL27, "")</f>
        <v/>
      </c>
      <c r="BM27" s="5" t="str">
        <f>IF('Hakediş Takip'!C27&lt;&gt;"", 'Hakediş Takip'!BM27, "")</f>
        <v/>
      </c>
      <c r="BN27" s="5" t="str">
        <f>IF('Hakediş Takip'!C27&lt;&gt;"", 'Hakediş Takip'!BN27, "")</f>
        <v/>
      </c>
      <c r="BO27" s="5" t="str">
        <f>IF('Hakediş Takip'!C27&lt;&gt;"", 'Hakediş Takip'!BO27, "")</f>
        <v/>
      </c>
      <c r="BP27" s="5" t="str">
        <f>IF('Hakediş Takip'!C27&lt;&gt;"", 'Hakediş Takip'!BP27, "")</f>
        <v/>
      </c>
      <c r="BQ27" s="3"/>
    </row>
    <row r="28" spans="1:69" ht="19.95" customHeight="1" x14ac:dyDescent="0.3">
      <c r="A28" s="21" t="str">
        <f>IF('Hakediş Takip'!C28&lt;&gt;"", 'Hakediş Takip'!A28, "")</f>
        <v/>
      </c>
      <c r="B28" s="5" t="str">
        <f>IF('Hakediş Takip'!C28&lt;&gt;"", 'Hakediş Takip'!B28, "")</f>
        <v/>
      </c>
      <c r="C28" s="5" t="str">
        <f>IF('Hakediş Takip'!C28&lt;&gt;"", 'Hakediş Takip'!C28, "")</f>
        <v/>
      </c>
      <c r="D28" s="5" t="str">
        <f>IF('Hakediş Takip'!C28&lt;&gt;"", 'Hakediş Takip'!D28, "")</f>
        <v/>
      </c>
      <c r="E28" s="5" t="str">
        <f>IF('Hakediş Takip'!C28&lt;&gt;"", 'Hakediş Takip'!E28, "")</f>
        <v/>
      </c>
      <c r="F28" s="5" t="str">
        <f>IF('Hakediş Takip'!C28&lt;&gt;"", 'Hakediş Takip'!F28, "")</f>
        <v/>
      </c>
      <c r="G28" s="5" t="str">
        <f>IF('Hakediş Takip'!C28&lt;&gt;"", 'Hakediş Takip'!G28, "")</f>
        <v/>
      </c>
      <c r="H28" s="5" t="str">
        <f>IF('Hakediş Takip'!C28&lt;&gt;"", 'Hakediş Takip'!H28, "")</f>
        <v/>
      </c>
      <c r="I28" s="5" t="str">
        <f>IF('Hakediş Takip'!C28&lt;&gt;"", 'Hakediş Takip'!I28, "")</f>
        <v/>
      </c>
      <c r="J28" s="5" t="str">
        <f>IF('Hakediş Takip'!C28&lt;&gt;"", 'Hakediş Takip'!J28, "")</f>
        <v/>
      </c>
      <c r="K28" s="5" t="str">
        <f>IF('Hakediş Takip'!C28&lt;&gt;"", 'Hakediş Takip'!K28, "")</f>
        <v/>
      </c>
      <c r="L28" s="5" t="str">
        <f>IF('Hakediş Takip'!C28&lt;&gt;"", 'Hakediş Takip'!L28, "")</f>
        <v/>
      </c>
      <c r="M28" s="5" t="str">
        <f>IF('Hakediş Takip'!C28&lt;&gt;"", 'Hakediş Takip'!M28, "")</f>
        <v/>
      </c>
      <c r="N28" s="5" t="str">
        <f>IF('Hakediş Takip'!C28&lt;&gt;"", 'Hakediş Takip'!N28, "")</f>
        <v/>
      </c>
      <c r="O28" s="5" t="str">
        <f>IF('Hakediş Takip'!C28&lt;&gt;"", 'Hakediş Takip'!O28, "")</f>
        <v/>
      </c>
      <c r="P28" s="5" t="str">
        <f>IF('Hakediş Takip'!C28&lt;&gt;"", 'Hakediş Takip'!P28, "")</f>
        <v/>
      </c>
      <c r="Q28" s="5" t="str">
        <f>IF('Hakediş Takip'!C28&lt;&gt;"", 'Hakediş Takip'!Q28, "")</f>
        <v/>
      </c>
      <c r="R28" s="5" t="str">
        <f>IF('Hakediş Takip'!C28&lt;&gt;"", 'Hakediş Takip'!R28, "")</f>
        <v/>
      </c>
      <c r="S28" s="5" t="str">
        <f>IF('Hakediş Takip'!C28&lt;&gt;"", 'Hakediş Takip'!S28, "")</f>
        <v/>
      </c>
      <c r="T28" s="5" t="str">
        <f>IF('Hakediş Takip'!C28&lt;&gt;"", 'Hakediş Takip'!T28, "")</f>
        <v/>
      </c>
      <c r="U28" s="5" t="str">
        <f>IF('Hakediş Takip'!C28&lt;&gt;"", 'Hakediş Takip'!U28, "")</f>
        <v/>
      </c>
      <c r="V28" s="5" t="str">
        <f>IF('Hakediş Takip'!C28&lt;&gt;"", 'Hakediş Takip'!V28, "")</f>
        <v/>
      </c>
      <c r="W28" s="5" t="str">
        <f>IF('Hakediş Takip'!C28&lt;&gt;"", 'Hakediş Takip'!W28, "")</f>
        <v/>
      </c>
      <c r="X28" s="5" t="str">
        <f>IF('Hakediş Takip'!C28&lt;&gt;"", 'Hakediş Takip'!X28, "")</f>
        <v/>
      </c>
      <c r="Y28" s="5" t="str">
        <f>IF('Hakediş Takip'!C28&lt;&gt;"", 'Hakediş Takip'!Y28, "")</f>
        <v/>
      </c>
      <c r="Z28" s="5" t="str">
        <f>IF('Hakediş Takip'!C28&lt;&gt;"", 'Hakediş Takip'!Z28, "")</f>
        <v/>
      </c>
      <c r="AA28" s="5" t="str">
        <f>IF('Hakediş Takip'!C28&lt;&gt;"", 'Hakediş Takip'!AA28, "")</f>
        <v/>
      </c>
      <c r="AB28" s="5" t="str">
        <f>IF('Hakediş Takip'!C28&lt;&gt;"", 'Hakediş Takip'!AB28, "")</f>
        <v/>
      </c>
      <c r="AC28" s="5" t="str">
        <f>IF('Hakediş Takip'!C28&lt;&gt;"", 'Hakediş Takip'!AC28, "")</f>
        <v/>
      </c>
      <c r="AD28" s="5" t="str">
        <f>IF('Hakediş Takip'!C28&lt;&gt;"", 'Hakediş Takip'!AD28, "")</f>
        <v/>
      </c>
      <c r="AE28" s="5" t="str">
        <f>IF('Hakediş Takip'!C28&lt;&gt;"", 'Hakediş Takip'!AE28, "")</f>
        <v/>
      </c>
      <c r="AF28" s="5" t="str">
        <f>IF('Hakediş Takip'!C28&lt;&gt;"", 'Hakediş Takip'!AF28, "")</f>
        <v/>
      </c>
      <c r="AG28" s="5" t="str">
        <f>IF('Hakediş Takip'!C28&lt;&gt;"", 'Hakediş Takip'!AG28, "")</f>
        <v/>
      </c>
      <c r="AH28" s="5" t="str">
        <f>IF('Hakediş Takip'!C28&lt;&gt;"", 'Hakediş Takip'!AH28, "")</f>
        <v/>
      </c>
      <c r="AI28" s="5" t="str">
        <f>IF('Hakediş Takip'!C28&lt;&gt;"", 'Hakediş Takip'!AI28, "")</f>
        <v/>
      </c>
      <c r="AJ28" s="5" t="str">
        <f>IF('Hakediş Takip'!C28&lt;&gt;"", 'Hakediş Takip'!AJ28, "")</f>
        <v/>
      </c>
      <c r="AK28" s="5" t="str">
        <f>IF('Hakediş Takip'!C28&lt;&gt;"", 'Hakediş Takip'!AK28, "")</f>
        <v/>
      </c>
      <c r="AL28" s="5" t="str">
        <f>IF('Hakediş Takip'!C28&lt;&gt;"", 'Hakediş Takip'!AL28, "")</f>
        <v/>
      </c>
      <c r="AM28" s="5" t="str">
        <f>IF('Hakediş Takip'!C28&lt;&gt;"", 'Hakediş Takip'!AM28, "")</f>
        <v/>
      </c>
      <c r="AN28" s="5" t="str">
        <f>IF('Hakediş Takip'!C28&lt;&gt;"", 'Hakediş Takip'!AN28, "")</f>
        <v/>
      </c>
      <c r="AO28" s="5" t="str">
        <f>IF('Hakediş Takip'!C28&lt;&gt;"", 'Hakediş Takip'!AO28, "")</f>
        <v/>
      </c>
      <c r="AP28" s="5" t="str">
        <f>IF('Hakediş Takip'!C28&lt;&gt;"", 'Hakediş Takip'!AP28, "")</f>
        <v/>
      </c>
      <c r="AQ28" s="5" t="str">
        <f>IF('Hakediş Takip'!C28&lt;&gt;"", 'Hakediş Takip'!AQ28, "")</f>
        <v/>
      </c>
      <c r="AR28" s="5" t="str">
        <f>IF('Hakediş Takip'!C28&lt;&gt;"", 'Hakediş Takip'!AR28, "")</f>
        <v/>
      </c>
      <c r="AS28" s="5" t="str">
        <f>IF('Hakediş Takip'!C28&lt;&gt;"", 'Hakediş Takip'!AS28, "")</f>
        <v/>
      </c>
      <c r="AT28" s="5" t="str">
        <f>IF('Hakediş Takip'!C28&lt;&gt;"", 'Hakediş Takip'!AT28, "")</f>
        <v/>
      </c>
      <c r="AU28" s="5" t="str">
        <f>IF('Hakediş Takip'!C28&lt;&gt;"", 'Hakediş Takip'!AU28, "")</f>
        <v/>
      </c>
      <c r="AV28" s="5" t="str">
        <f>IF('Hakediş Takip'!C28&lt;&gt;"", 'Hakediş Takip'!AV28, "")</f>
        <v/>
      </c>
      <c r="AW28" s="5" t="str">
        <f>IF('Hakediş Takip'!C28&lt;&gt;"", 'Hakediş Takip'!AW28, "")</f>
        <v/>
      </c>
      <c r="AX28" s="5" t="str">
        <f>IF('Hakediş Takip'!C28&lt;&gt;"", 'Hakediş Takip'!AX28, "")</f>
        <v/>
      </c>
      <c r="AY28" s="5" t="str">
        <f>IF('Hakediş Takip'!C28&lt;&gt;"", 'Hakediş Takip'!AY28, "")</f>
        <v/>
      </c>
      <c r="AZ28" s="5" t="str">
        <f>IF('Hakediş Takip'!C28&lt;&gt;"", 'Hakediş Takip'!AZ28, "")</f>
        <v/>
      </c>
      <c r="BA28" s="5" t="str">
        <f>IF('Hakediş Takip'!C28&lt;&gt;"", 'Hakediş Takip'!BA28, "")</f>
        <v/>
      </c>
      <c r="BB28" s="5" t="str">
        <f>IF('Hakediş Takip'!C28&lt;&gt;"", 'Hakediş Takip'!BB28, "")</f>
        <v/>
      </c>
      <c r="BC28" s="5" t="str">
        <f>IF('Hakediş Takip'!C28&lt;&gt;"", 'Hakediş Takip'!BC28, "")</f>
        <v/>
      </c>
      <c r="BD28" s="5" t="str">
        <f>IF('Hakediş Takip'!C28&lt;&gt;"", 'Hakediş Takip'!BD28, "")</f>
        <v/>
      </c>
      <c r="BE28" s="5" t="str">
        <f>IF('Hakediş Takip'!C28&lt;&gt;"", 'Hakediş Takip'!BE28, "")</f>
        <v/>
      </c>
      <c r="BF28" s="5" t="str">
        <f>IF('Hakediş Takip'!C28&lt;&gt;"", 'Hakediş Takip'!BF28, "")</f>
        <v/>
      </c>
      <c r="BG28" s="5" t="str">
        <f>IF('Hakediş Takip'!C28&lt;&gt;"", 'Hakediş Takip'!BG28, "")</f>
        <v/>
      </c>
      <c r="BH28" s="5" t="str">
        <f>IF('Hakediş Takip'!C28&lt;&gt;"", 'Hakediş Takip'!BH28, "")</f>
        <v/>
      </c>
      <c r="BI28" s="5" t="str">
        <f>IF('Hakediş Takip'!C28&lt;&gt;"", 'Hakediş Takip'!BI28, "")</f>
        <v/>
      </c>
      <c r="BJ28" s="5" t="str">
        <f>IF('Hakediş Takip'!C28&lt;&gt;"", 'Hakediş Takip'!BJ28, "")</f>
        <v/>
      </c>
      <c r="BK28" s="5" t="str">
        <f>IF('Hakediş Takip'!C28&lt;&gt;"", 'Hakediş Takip'!BK28, "")</f>
        <v/>
      </c>
      <c r="BL28" s="5" t="str">
        <f>IF('Hakediş Takip'!C28&lt;&gt;"", 'Hakediş Takip'!BL28, "")</f>
        <v/>
      </c>
      <c r="BM28" s="5" t="str">
        <f>IF('Hakediş Takip'!C28&lt;&gt;"", 'Hakediş Takip'!BM28, "")</f>
        <v/>
      </c>
      <c r="BN28" s="5" t="str">
        <f>IF('Hakediş Takip'!C28&lt;&gt;"", 'Hakediş Takip'!BN28, "")</f>
        <v/>
      </c>
      <c r="BO28" s="5" t="str">
        <f>IF('Hakediş Takip'!C28&lt;&gt;"", 'Hakediş Takip'!BO28, "")</f>
        <v/>
      </c>
      <c r="BP28" s="5" t="str">
        <f>IF('Hakediş Takip'!C28&lt;&gt;"", 'Hakediş Takip'!BP28, "")</f>
        <v/>
      </c>
      <c r="BQ28" s="3"/>
    </row>
    <row r="29" spans="1:69" ht="19.95" customHeight="1" x14ac:dyDescent="0.3">
      <c r="A29" s="21" t="str">
        <f>IF('Hakediş Takip'!C29&lt;&gt;"", 'Hakediş Takip'!A29, "")</f>
        <v/>
      </c>
      <c r="B29" s="5" t="str">
        <f>IF('Hakediş Takip'!C29&lt;&gt;"", 'Hakediş Takip'!B29, "")</f>
        <v/>
      </c>
      <c r="C29" s="5" t="str">
        <f>IF('Hakediş Takip'!C29&lt;&gt;"", 'Hakediş Takip'!C29, "")</f>
        <v/>
      </c>
      <c r="D29" s="5" t="str">
        <f>IF('Hakediş Takip'!C29&lt;&gt;"", 'Hakediş Takip'!D29, "")</f>
        <v/>
      </c>
      <c r="E29" s="5" t="str">
        <f>IF('Hakediş Takip'!C29&lt;&gt;"", 'Hakediş Takip'!E29, "")</f>
        <v/>
      </c>
      <c r="F29" s="5" t="str">
        <f>IF('Hakediş Takip'!C29&lt;&gt;"", 'Hakediş Takip'!F29, "")</f>
        <v/>
      </c>
      <c r="G29" s="5" t="str">
        <f>IF('Hakediş Takip'!C29&lt;&gt;"", 'Hakediş Takip'!G29, "")</f>
        <v/>
      </c>
      <c r="H29" s="5" t="str">
        <f>IF('Hakediş Takip'!C29&lt;&gt;"", 'Hakediş Takip'!H29, "")</f>
        <v/>
      </c>
      <c r="I29" s="5" t="str">
        <f>IF('Hakediş Takip'!C29&lt;&gt;"", 'Hakediş Takip'!I29, "")</f>
        <v/>
      </c>
      <c r="J29" s="5" t="str">
        <f>IF('Hakediş Takip'!C29&lt;&gt;"", 'Hakediş Takip'!J29, "")</f>
        <v/>
      </c>
      <c r="K29" s="5" t="str">
        <f>IF('Hakediş Takip'!C29&lt;&gt;"", 'Hakediş Takip'!K29, "")</f>
        <v/>
      </c>
      <c r="L29" s="5" t="str">
        <f>IF('Hakediş Takip'!C29&lt;&gt;"", 'Hakediş Takip'!L29, "")</f>
        <v/>
      </c>
      <c r="M29" s="5" t="str">
        <f>IF('Hakediş Takip'!C29&lt;&gt;"", 'Hakediş Takip'!M29, "")</f>
        <v/>
      </c>
      <c r="N29" s="5" t="str">
        <f>IF('Hakediş Takip'!C29&lt;&gt;"", 'Hakediş Takip'!N29, "")</f>
        <v/>
      </c>
      <c r="O29" s="5" t="str">
        <f>IF('Hakediş Takip'!C29&lt;&gt;"", 'Hakediş Takip'!O29, "")</f>
        <v/>
      </c>
      <c r="P29" s="5" t="str">
        <f>IF('Hakediş Takip'!C29&lt;&gt;"", 'Hakediş Takip'!P29, "")</f>
        <v/>
      </c>
      <c r="Q29" s="5" t="str">
        <f>IF('Hakediş Takip'!C29&lt;&gt;"", 'Hakediş Takip'!Q29, "")</f>
        <v/>
      </c>
      <c r="R29" s="5" t="str">
        <f>IF('Hakediş Takip'!C29&lt;&gt;"", 'Hakediş Takip'!R29, "")</f>
        <v/>
      </c>
      <c r="S29" s="5" t="str">
        <f>IF('Hakediş Takip'!C29&lt;&gt;"", 'Hakediş Takip'!S29, "")</f>
        <v/>
      </c>
      <c r="T29" s="5" t="str">
        <f>IF('Hakediş Takip'!C29&lt;&gt;"", 'Hakediş Takip'!T29, "")</f>
        <v/>
      </c>
      <c r="U29" s="5" t="str">
        <f>IF('Hakediş Takip'!C29&lt;&gt;"", 'Hakediş Takip'!U29, "")</f>
        <v/>
      </c>
      <c r="V29" s="5" t="str">
        <f>IF('Hakediş Takip'!C29&lt;&gt;"", 'Hakediş Takip'!V29, "")</f>
        <v/>
      </c>
      <c r="W29" s="5" t="str">
        <f>IF('Hakediş Takip'!C29&lt;&gt;"", 'Hakediş Takip'!W29, "")</f>
        <v/>
      </c>
      <c r="X29" s="5" t="str">
        <f>IF('Hakediş Takip'!C29&lt;&gt;"", 'Hakediş Takip'!X29, "")</f>
        <v/>
      </c>
      <c r="Y29" s="5" t="str">
        <f>IF('Hakediş Takip'!C29&lt;&gt;"", 'Hakediş Takip'!Y29, "")</f>
        <v/>
      </c>
      <c r="Z29" s="5" t="str">
        <f>IF('Hakediş Takip'!C29&lt;&gt;"", 'Hakediş Takip'!Z29, "")</f>
        <v/>
      </c>
      <c r="AA29" s="5" t="str">
        <f>IF('Hakediş Takip'!C29&lt;&gt;"", 'Hakediş Takip'!AA29, "")</f>
        <v/>
      </c>
      <c r="AB29" s="5" t="str">
        <f>IF('Hakediş Takip'!C29&lt;&gt;"", 'Hakediş Takip'!AB29, "")</f>
        <v/>
      </c>
      <c r="AC29" s="5" t="str">
        <f>IF('Hakediş Takip'!C29&lt;&gt;"", 'Hakediş Takip'!AC29, "")</f>
        <v/>
      </c>
      <c r="AD29" s="5" t="str">
        <f>IF('Hakediş Takip'!C29&lt;&gt;"", 'Hakediş Takip'!AD29, "")</f>
        <v/>
      </c>
      <c r="AE29" s="5" t="str">
        <f>IF('Hakediş Takip'!C29&lt;&gt;"", 'Hakediş Takip'!AE29, "")</f>
        <v/>
      </c>
      <c r="AF29" s="5" t="str">
        <f>IF('Hakediş Takip'!C29&lt;&gt;"", 'Hakediş Takip'!AF29, "")</f>
        <v/>
      </c>
      <c r="AG29" s="5" t="str">
        <f>IF('Hakediş Takip'!C29&lt;&gt;"", 'Hakediş Takip'!AG29, "")</f>
        <v/>
      </c>
      <c r="AH29" s="5" t="str">
        <f>IF('Hakediş Takip'!C29&lt;&gt;"", 'Hakediş Takip'!AH29, "")</f>
        <v/>
      </c>
      <c r="AI29" s="5" t="str">
        <f>IF('Hakediş Takip'!C29&lt;&gt;"", 'Hakediş Takip'!AI29, "")</f>
        <v/>
      </c>
      <c r="AJ29" s="5" t="str">
        <f>IF('Hakediş Takip'!C29&lt;&gt;"", 'Hakediş Takip'!AJ29, "")</f>
        <v/>
      </c>
      <c r="AK29" s="5" t="str">
        <f>IF('Hakediş Takip'!C29&lt;&gt;"", 'Hakediş Takip'!AK29, "")</f>
        <v/>
      </c>
      <c r="AL29" s="5" t="str">
        <f>IF('Hakediş Takip'!C29&lt;&gt;"", 'Hakediş Takip'!AL29, "")</f>
        <v/>
      </c>
      <c r="AM29" s="5" t="str">
        <f>IF('Hakediş Takip'!C29&lt;&gt;"", 'Hakediş Takip'!AM29, "")</f>
        <v/>
      </c>
      <c r="AN29" s="5" t="str">
        <f>IF('Hakediş Takip'!C29&lt;&gt;"", 'Hakediş Takip'!AN29, "")</f>
        <v/>
      </c>
      <c r="AO29" s="5" t="str">
        <f>IF('Hakediş Takip'!C29&lt;&gt;"", 'Hakediş Takip'!AO29, "")</f>
        <v/>
      </c>
      <c r="AP29" s="5" t="str">
        <f>IF('Hakediş Takip'!C29&lt;&gt;"", 'Hakediş Takip'!AP29, "")</f>
        <v/>
      </c>
      <c r="AQ29" s="5" t="str">
        <f>IF('Hakediş Takip'!C29&lt;&gt;"", 'Hakediş Takip'!AQ29, "")</f>
        <v/>
      </c>
      <c r="AR29" s="5" t="str">
        <f>IF('Hakediş Takip'!C29&lt;&gt;"", 'Hakediş Takip'!AR29, "")</f>
        <v/>
      </c>
      <c r="AS29" s="5" t="str">
        <f>IF('Hakediş Takip'!C29&lt;&gt;"", 'Hakediş Takip'!AS29, "")</f>
        <v/>
      </c>
      <c r="AT29" s="5" t="str">
        <f>IF('Hakediş Takip'!C29&lt;&gt;"", 'Hakediş Takip'!AT29, "")</f>
        <v/>
      </c>
      <c r="AU29" s="5" t="str">
        <f>IF('Hakediş Takip'!C29&lt;&gt;"", 'Hakediş Takip'!AU29, "")</f>
        <v/>
      </c>
      <c r="AV29" s="5" t="str">
        <f>IF('Hakediş Takip'!C29&lt;&gt;"", 'Hakediş Takip'!AV29, "")</f>
        <v/>
      </c>
      <c r="AW29" s="5" t="str">
        <f>IF('Hakediş Takip'!C29&lt;&gt;"", 'Hakediş Takip'!AW29, "")</f>
        <v/>
      </c>
      <c r="AX29" s="5" t="str">
        <f>IF('Hakediş Takip'!C29&lt;&gt;"", 'Hakediş Takip'!AX29, "")</f>
        <v/>
      </c>
      <c r="AY29" s="5" t="str">
        <f>IF('Hakediş Takip'!C29&lt;&gt;"", 'Hakediş Takip'!AY29, "")</f>
        <v/>
      </c>
      <c r="AZ29" s="5" t="str">
        <f>IF('Hakediş Takip'!C29&lt;&gt;"", 'Hakediş Takip'!AZ29, "")</f>
        <v/>
      </c>
      <c r="BA29" s="5" t="str">
        <f>IF('Hakediş Takip'!C29&lt;&gt;"", 'Hakediş Takip'!BA29, "")</f>
        <v/>
      </c>
      <c r="BB29" s="5" t="str">
        <f>IF('Hakediş Takip'!C29&lt;&gt;"", 'Hakediş Takip'!BB29, "")</f>
        <v/>
      </c>
      <c r="BC29" s="5" t="str">
        <f>IF('Hakediş Takip'!C29&lt;&gt;"", 'Hakediş Takip'!BC29, "")</f>
        <v/>
      </c>
      <c r="BD29" s="5" t="str">
        <f>IF('Hakediş Takip'!C29&lt;&gt;"", 'Hakediş Takip'!BD29, "")</f>
        <v/>
      </c>
      <c r="BE29" s="5" t="str">
        <f>IF('Hakediş Takip'!C29&lt;&gt;"", 'Hakediş Takip'!BE29, "")</f>
        <v/>
      </c>
      <c r="BF29" s="5" t="str">
        <f>IF('Hakediş Takip'!C29&lt;&gt;"", 'Hakediş Takip'!BF29, "")</f>
        <v/>
      </c>
      <c r="BG29" s="5" t="str">
        <f>IF('Hakediş Takip'!C29&lt;&gt;"", 'Hakediş Takip'!BG29, "")</f>
        <v/>
      </c>
      <c r="BH29" s="5" t="str">
        <f>IF('Hakediş Takip'!C29&lt;&gt;"", 'Hakediş Takip'!BH29, "")</f>
        <v/>
      </c>
      <c r="BI29" s="5" t="str">
        <f>IF('Hakediş Takip'!C29&lt;&gt;"", 'Hakediş Takip'!BI29, "")</f>
        <v/>
      </c>
      <c r="BJ29" s="5" t="str">
        <f>IF('Hakediş Takip'!C29&lt;&gt;"", 'Hakediş Takip'!BJ29, "")</f>
        <v/>
      </c>
      <c r="BK29" s="5" t="str">
        <f>IF('Hakediş Takip'!C29&lt;&gt;"", 'Hakediş Takip'!BK29, "")</f>
        <v/>
      </c>
      <c r="BL29" s="5" t="str">
        <f>IF('Hakediş Takip'!C29&lt;&gt;"", 'Hakediş Takip'!BL29, "")</f>
        <v/>
      </c>
      <c r="BM29" s="5" t="str">
        <f>IF('Hakediş Takip'!C29&lt;&gt;"", 'Hakediş Takip'!BM29, "")</f>
        <v/>
      </c>
      <c r="BN29" s="5" t="str">
        <f>IF('Hakediş Takip'!C29&lt;&gt;"", 'Hakediş Takip'!BN29, "")</f>
        <v/>
      </c>
      <c r="BO29" s="5" t="str">
        <f>IF('Hakediş Takip'!C29&lt;&gt;"", 'Hakediş Takip'!BO29, "")</f>
        <v/>
      </c>
      <c r="BP29" s="5" t="str">
        <f>IF('Hakediş Takip'!C29&lt;&gt;"", 'Hakediş Takip'!BP29, "")</f>
        <v/>
      </c>
      <c r="BQ29" s="3"/>
    </row>
    <row r="30" spans="1:69" ht="19.95" customHeight="1" x14ac:dyDescent="0.3">
      <c r="A30" s="28" t="str">
        <f>IF('Hakediş Takip'!C30&lt;&gt;"", 'Hakediş Takip'!A30, "")</f>
        <v/>
      </c>
      <c r="B30" s="29" t="str">
        <f>IF('Hakediş Takip'!C30&lt;&gt;"", 'Hakediş Takip'!B30, "")</f>
        <v/>
      </c>
      <c r="C30" s="29" t="str">
        <f>IF('Hakediş Takip'!C30&lt;&gt;"", 'Hakediş Takip'!C30, "")</f>
        <v/>
      </c>
      <c r="D30" s="29" t="str">
        <f>IF('Hakediş Takip'!C30&lt;&gt;"", 'Hakediş Takip'!D30, "")</f>
        <v/>
      </c>
      <c r="E30" s="29" t="str">
        <f>IF('Hakediş Takip'!C30&lt;&gt;"", 'Hakediş Takip'!E30, "")</f>
        <v/>
      </c>
      <c r="F30" s="29" t="str">
        <f>IF('Hakediş Takip'!C30&lt;&gt;"", 'Hakediş Takip'!F30, "")</f>
        <v/>
      </c>
      <c r="G30" s="29" t="str">
        <f>IF('Hakediş Takip'!C30&lt;&gt;"", 'Hakediş Takip'!G30, "")</f>
        <v/>
      </c>
      <c r="H30" s="29" t="str">
        <f>IF('Hakediş Takip'!C30&lt;&gt;"", 'Hakediş Takip'!H30, "")</f>
        <v/>
      </c>
      <c r="I30" s="29" t="str">
        <f>IF('Hakediş Takip'!C30&lt;&gt;"", 'Hakediş Takip'!I30, "")</f>
        <v/>
      </c>
      <c r="J30" s="29" t="str">
        <f>IF('Hakediş Takip'!C30&lt;&gt;"", 'Hakediş Takip'!J30, "")</f>
        <v/>
      </c>
      <c r="K30" s="29" t="str">
        <f>IF('Hakediş Takip'!C30&lt;&gt;"", 'Hakediş Takip'!K30, "")</f>
        <v/>
      </c>
      <c r="L30" s="29" t="str">
        <f>IF('Hakediş Takip'!C30&lt;&gt;"", 'Hakediş Takip'!L30, "")</f>
        <v/>
      </c>
      <c r="M30" s="29" t="str">
        <f>IF('Hakediş Takip'!C30&lt;&gt;"", 'Hakediş Takip'!M30, "")</f>
        <v/>
      </c>
      <c r="N30" s="29" t="str">
        <f>IF('Hakediş Takip'!C30&lt;&gt;"", 'Hakediş Takip'!N30, "")</f>
        <v/>
      </c>
      <c r="O30" s="29" t="str">
        <f>IF('Hakediş Takip'!C30&lt;&gt;"", 'Hakediş Takip'!O30, "")</f>
        <v/>
      </c>
      <c r="P30" s="29" t="str">
        <f>IF('Hakediş Takip'!C30&lt;&gt;"", 'Hakediş Takip'!P30, "")</f>
        <v/>
      </c>
      <c r="Q30" s="29" t="str">
        <f>IF('Hakediş Takip'!C30&lt;&gt;"", 'Hakediş Takip'!Q30, "")</f>
        <v/>
      </c>
      <c r="R30" s="29" t="str">
        <f>IF('Hakediş Takip'!C30&lt;&gt;"", 'Hakediş Takip'!R30, "")</f>
        <v/>
      </c>
      <c r="S30" s="29" t="str">
        <f>IF('Hakediş Takip'!C30&lt;&gt;"", 'Hakediş Takip'!S30, "")</f>
        <v/>
      </c>
      <c r="T30" s="29" t="str">
        <f>IF('Hakediş Takip'!C30&lt;&gt;"", 'Hakediş Takip'!T30, "")</f>
        <v/>
      </c>
      <c r="U30" s="29" t="str">
        <f>IF('Hakediş Takip'!C30&lt;&gt;"", 'Hakediş Takip'!U30, "")</f>
        <v/>
      </c>
      <c r="V30" s="29" t="str">
        <f>IF('Hakediş Takip'!C30&lt;&gt;"", 'Hakediş Takip'!V30, "")</f>
        <v/>
      </c>
      <c r="W30" s="29" t="str">
        <f>IF('Hakediş Takip'!C30&lt;&gt;"", 'Hakediş Takip'!W30, "")</f>
        <v/>
      </c>
      <c r="X30" s="29" t="str">
        <f>IF('Hakediş Takip'!C30&lt;&gt;"", 'Hakediş Takip'!X30, "")</f>
        <v/>
      </c>
      <c r="Y30" s="29" t="str">
        <f>IF('Hakediş Takip'!C30&lt;&gt;"", 'Hakediş Takip'!Y30, "")</f>
        <v/>
      </c>
      <c r="Z30" s="29" t="str">
        <f>IF('Hakediş Takip'!C30&lt;&gt;"", 'Hakediş Takip'!Z30, "")</f>
        <v/>
      </c>
      <c r="AA30" s="29" t="str">
        <f>IF('Hakediş Takip'!C30&lt;&gt;"", 'Hakediş Takip'!AA30, "")</f>
        <v/>
      </c>
      <c r="AB30" s="29" t="str">
        <f>IF('Hakediş Takip'!C30&lt;&gt;"", 'Hakediş Takip'!AB30, "")</f>
        <v/>
      </c>
      <c r="AC30" s="29" t="str">
        <f>IF('Hakediş Takip'!C30&lt;&gt;"", 'Hakediş Takip'!AC30, "")</f>
        <v/>
      </c>
      <c r="AD30" s="29" t="str">
        <f>IF('Hakediş Takip'!C30&lt;&gt;"", 'Hakediş Takip'!AD30, "")</f>
        <v/>
      </c>
      <c r="AE30" s="29" t="str">
        <f>IF('Hakediş Takip'!C30&lt;&gt;"", 'Hakediş Takip'!AE30, "")</f>
        <v/>
      </c>
      <c r="AF30" s="29" t="str">
        <f>IF('Hakediş Takip'!C30&lt;&gt;"", 'Hakediş Takip'!AF30, "")</f>
        <v/>
      </c>
      <c r="AG30" s="29" t="str">
        <f>IF('Hakediş Takip'!C30&lt;&gt;"", 'Hakediş Takip'!AG30, "")</f>
        <v/>
      </c>
      <c r="AH30" s="29" t="str">
        <f>IF('Hakediş Takip'!C30&lt;&gt;"", 'Hakediş Takip'!AH30, "")</f>
        <v/>
      </c>
      <c r="AI30" s="29" t="str">
        <f>IF('Hakediş Takip'!C30&lt;&gt;"", 'Hakediş Takip'!AI30, "")</f>
        <v/>
      </c>
      <c r="AJ30" s="29" t="str">
        <f>IF('Hakediş Takip'!C30&lt;&gt;"", 'Hakediş Takip'!AJ30, "")</f>
        <v/>
      </c>
      <c r="AK30" s="29" t="str">
        <f>IF('Hakediş Takip'!C30&lt;&gt;"", 'Hakediş Takip'!AK30, "")</f>
        <v/>
      </c>
      <c r="AL30" s="29" t="str">
        <f>IF('Hakediş Takip'!C30&lt;&gt;"", 'Hakediş Takip'!AL30, "")</f>
        <v/>
      </c>
      <c r="AM30" s="29" t="str">
        <f>IF('Hakediş Takip'!C30&lt;&gt;"", 'Hakediş Takip'!AM30, "")</f>
        <v/>
      </c>
      <c r="AN30" s="29" t="str">
        <f>IF('Hakediş Takip'!C30&lt;&gt;"", 'Hakediş Takip'!AN30, "")</f>
        <v/>
      </c>
      <c r="AO30" s="29" t="str">
        <f>IF('Hakediş Takip'!C30&lt;&gt;"", 'Hakediş Takip'!AO30, "")</f>
        <v/>
      </c>
      <c r="AP30" s="29" t="str">
        <f>IF('Hakediş Takip'!C30&lt;&gt;"", 'Hakediş Takip'!AP30, "")</f>
        <v/>
      </c>
      <c r="AQ30" s="29" t="str">
        <f>IF('Hakediş Takip'!C30&lt;&gt;"", 'Hakediş Takip'!AQ30, "")</f>
        <v/>
      </c>
      <c r="AR30" s="29" t="str">
        <f>IF('Hakediş Takip'!C30&lt;&gt;"", 'Hakediş Takip'!AR30, "")</f>
        <v/>
      </c>
      <c r="AS30" s="29" t="str">
        <f>IF('Hakediş Takip'!C30&lt;&gt;"", 'Hakediş Takip'!AS30, "")</f>
        <v/>
      </c>
      <c r="AT30" s="29" t="str">
        <f>IF('Hakediş Takip'!C30&lt;&gt;"", 'Hakediş Takip'!AT30, "")</f>
        <v/>
      </c>
      <c r="AU30" s="29" t="str">
        <f>IF('Hakediş Takip'!C30&lt;&gt;"", 'Hakediş Takip'!AU30, "")</f>
        <v/>
      </c>
      <c r="AV30" s="29" t="str">
        <f>IF('Hakediş Takip'!C30&lt;&gt;"", 'Hakediş Takip'!AV30, "")</f>
        <v/>
      </c>
      <c r="AW30" s="29" t="str">
        <f>IF('Hakediş Takip'!C30&lt;&gt;"", 'Hakediş Takip'!AW30, "")</f>
        <v/>
      </c>
      <c r="AX30" s="29" t="str">
        <f>IF('Hakediş Takip'!C30&lt;&gt;"", 'Hakediş Takip'!AX30, "")</f>
        <v/>
      </c>
      <c r="AY30" s="29" t="str">
        <f>IF('Hakediş Takip'!C30&lt;&gt;"", 'Hakediş Takip'!AY30, "")</f>
        <v/>
      </c>
      <c r="AZ30" s="29" t="str">
        <f>IF('Hakediş Takip'!C30&lt;&gt;"", 'Hakediş Takip'!AZ30, "")</f>
        <v/>
      </c>
      <c r="BA30" s="29" t="str">
        <f>IF('Hakediş Takip'!C30&lt;&gt;"", 'Hakediş Takip'!BA30, "")</f>
        <v/>
      </c>
      <c r="BB30" s="29" t="str">
        <f>IF('Hakediş Takip'!C30&lt;&gt;"", 'Hakediş Takip'!BB30, "")</f>
        <v/>
      </c>
      <c r="BC30" s="29" t="str">
        <f>IF('Hakediş Takip'!C30&lt;&gt;"", 'Hakediş Takip'!BC30, "")</f>
        <v/>
      </c>
      <c r="BD30" s="29" t="str">
        <f>IF('Hakediş Takip'!C30&lt;&gt;"", 'Hakediş Takip'!BD30, "")</f>
        <v/>
      </c>
      <c r="BE30" s="29" t="str">
        <f>IF('Hakediş Takip'!C30&lt;&gt;"", 'Hakediş Takip'!BE30, "")</f>
        <v/>
      </c>
      <c r="BF30" s="29" t="str">
        <f>IF('Hakediş Takip'!C30&lt;&gt;"", 'Hakediş Takip'!BF30, "")</f>
        <v/>
      </c>
      <c r="BG30" s="29" t="str">
        <f>IF('Hakediş Takip'!C30&lt;&gt;"", 'Hakediş Takip'!BG30, "")</f>
        <v/>
      </c>
      <c r="BH30" s="29" t="str">
        <f>IF('Hakediş Takip'!C30&lt;&gt;"", 'Hakediş Takip'!BH30, "")</f>
        <v/>
      </c>
      <c r="BI30" s="29" t="str">
        <f>IF('Hakediş Takip'!C30&lt;&gt;"", 'Hakediş Takip'!BI30, "")</f>
        <v/>
      </c>
      <c r="BJ30" s="29" t="str">
        <f>IF('Hakediş Takip'!C30&lt;&gt;"", 'Hakediş Takip'!BJ30, "")</f>
        <v/>
      </c>
      <c r="BK30" s="29" t="str">
        <f>IF('Hakediş Takip'!C30&lt;&gt;"", 'Hakediş Takip'!BK30, "")</f>
        <v/>
      </c>
      <c r="BL30" s="29" t="str">
        <f>IF('Hakediş Takip'!C30&lt;&gt;"", 'Hakediş Takip'!BL30, "")</f>
        <v/>
      </c>
      <c r="BM30" s="29" t="str">
        <f>IF('Hakediş Takip'!C30&lt;&gt;"", 'Hakediş Takip'!BM30, "")</f>
        <v/>
      </c>
      <c r="BN30" s="29" t="str">
        <f>IF('Hakediş Takip'!C30&lt;&gt;"", 'Hakediş Takip'!BN30, "")</f>
        <v/>
      </c>
      <c r="BO30" s="29" t="str">
        <f>IF('Hakediş Takip'!C30&lt;&gt;"", 'Hakediş Takip'!BO30, "")</f>
        <v/>
      </c>
      <c r="BP30" s="29" t="str">
        <f>IF('Hakediş Takip'!C30&lt;&gt;"", 'Hakediş Takip'!BP30, "")</f>
        <v/>
      </c>
      <c r="BQ30" s="24"/>
    </row>
  </sheetData>
  <mergeCells count="17">
    <mergeCell ref="A1:BQ1"/>
    <mergeCell ref="Q5:T5"/>
    <mergeCell ref="U5:X5"/>
    <mergeCell ref="Y5:AB5"/>
    <mergeCell ref="I5:L5"/>
    <mergeCell ref="M5:P5"/>
    <mergeCell ref="AC5:AF5"/>
    <mergeCell ref="A3:BQ3"/>
    <mergeCell ref="AG5:AJ5"/>
    <mergeCell ref="AK5:AN5"/>
    <mergeCell ref="BA5:BD5"/>
    <mergeCell ref="AW5:AZ5"/>
    <mergeCell ref="AO5:AR5"/>
    <mergeCell ref="BE5:BH5"/>
    <mergeCell ref="BI5:BL5"/>
    <mergeCell ref="BM5:BP5"/>
    <mergeCell ref="AS5:AV5"/>
  </mergeCells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0"/>
  <sheetViews>
    <sheetView workbookViewId="0">
      <selection sqref="A1:M1"/>
    </sheetView>
  </sheetViews>
  <sheetFormatPr defaultRowHeight="14.4" x14ac:dyDescent="0.3"/>
  <cols>
    <col min="1" max="1" width="28" customWidth="1"/>
    <col min="2" max="2" width="14" customWidth="1"/>
    <col min="3" max="3" width="12" customWidth="1"/>
    <col min="4" max="4" width="22" customWidth="1"/>
    <col min="5" max="5" width="18" customWidth="1"/>
    <col min="6" max="6" width="20" customWidth="1"/>
    <col min="7" max="7" width="18" customWidth="1"/>
    <col min="8" max="8" width="20" customWidth="1"/>
    <col min="9" max="9" width="18" customWidth="1"/>
    <col min="10" max="10" width="20" customWidth="1"/>
    <col min="11" max="11" width="18" customWidth="1"/>
    <col min="12" max="12" width="20" customWidth="1"/>
    <col min="13" max="13" width="18" customWidth="1"/>
  </cols>
  <sheetData>
    <row r="1" spans="1:13" ht="40.049999999999997" customHeight="1" x14ac:dyDescent="0.3">
      <c r="A1" s="32" t="inlineStr">
        <is>
          <t xml:space="preserve">BİRİM FİYAT MASTER VE DÖNEMSEL REVİZYON MATRİSİ</t>
        </is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 ht="19.95" customHeight="1" x14ac:dyDescent="0.3">
      <c r="A3" s="40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7"/>
    </row>
    <row r="4" spans="1:13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ht="30" customHeight="1" x14ac:dyDescent="0.3">
      <c r="A5" s="8" t="inlineStr">
        <is>
          <t xml:space="preserve">İş Kalemi</t>
        </is>
      </c>
      <c r="B5" s="9" t="inlineStr">
        <is>
          <t xml:space="preserve">Poz No</t>
        </is>
      </c>
      <c r="C5" s="9" t="inlineStr">
        <is>
          <t xml:space="preserve">Birim</t>
        </is>
      </c>
      <c r="D5" s="9" t="inlineStr">
        <is>
          <t xml:space="preserve">Sözleşme Fiyatı (TL)</t>
        </is>
      </c>
      <c r="E5" s="9" t="inlineStr">
        <is>
          <t xml:space="preserve">Sözleşme Başlangıç No</t>
        </is>
      </c>
      <c r="F5" s="9" t="inlineStr">
        <is>
          <t xml:space="preserve">Revize 1 Fiyatı (TL)</t>
        </is>
      </c>
      <c r="G5" s="9" t="inlineStr">
        <is>
          <t xml:space="preserve">Revize 1 Başlangıç No</t>
        </is>
      </c>
      <c r="H5" s="9" t="inlineStr">
        <is>
          <t xml:space="preserve">Revize 2 Fiyatı (TL)</t>
        </is>
      </c>
      <c r="I5" s="9" t="inlineStr">
        <is>
          <t xml:space="preserve">Revize 2 Başlangıç No</t>
        </is>
      </c>
      <c r="J5" s="9" t="inlineStr">
        <is>
          <t xml:space="preserve">Revize 3 Fiyatı (TL)</t>
        </is>
      </c>
      <c r="K5" s="9" t="inlineStr">
        <is>
          <t xml:space="preserve">Revize 3 Başlangıç No</t>
        </is>
      </c>
      <c r="L5" s="9" t="inlineStr">
        <is>
          <t xml:space="preserve">Revize 4 Fiyatı (TL)</t>
        </is>
      </c>
      <c r="M5" s="10" t="inlineStr">
        <is>
          <t xml:space="preserve">Revize 4 Başlangıç No</t>
        </is>
      </c>
    </row>
    <row r="6" spans="1:13" ht="22.05" customHeight="1" x14ac:dyDescent="0.3">
      <c r="A6" s="21"/>
      <c r="B6" s="30"/>
      <c r="C6" s="30"/>
      <c r="D6" s="12"/>
      <c r="E6" s="30"/>
      <c r="F6" s="12"/>
      <c r="G6" s="30"/>
      <c r="H6" s="12"/>
      <c r="I6" s="30"/>
      <c r="J6" s="12"/>
      <c r="K6" s="30"/>
      <c r="L6" s="12"/>
      <c r="M6" s="31"/>
    </row>
    <row r="7" spans="1:13" ht="22.05" customHeight="1" x14ac:dyDescent="0.3">
      <c r="A7" s="21"/>
      <c r="B7" s="30"/>
      <c r="C7" s="30"/>
      <c r="D7" s="12"/>
      <c r="E7" s="30"/>
      <c r="F7" s="12"/>
      <c r="G7" s="30"/>
      <c r="H7" s="12"/>
      <c r="I7" s="30"/>
      <c r="J7" s="12"/>
      <c r="K7" s="30"/>
      <c r="L7" s="12"/>
      <c r="M7" s="31"/>
    </row>
    <row r="8" spans="1:13" ht="22.05" customHeight="1" x14ac:dyDescent="0.3">
      <c r="A8" s="21"/>
      <c r="B8" s="30"/>
      <c r="C8" s="30"/>
      <c r="D8" s="12"/>
      <c r="E8" s="30"/>
      <c r="F8" s="12"/>
      <c r="G8" s="30"/>
      <c r="H8" s="12"/>
      <c r="I8" s="30"/>
      <c r="J8" s="12"/>
      <c r="K8" s="30"/>
      <c r="L8" s="12"/>
      <c r="M8" s="31"/>
    </row>
    <row r="9" spans="1:13" ht="22.05" customHeight="1" x14ac:dyDescent="0.3">
      <c r="A9" s="21"/>
      <c r="B9" s="30"/>
      <c r="C9" s="30"/>
      <c r="D9" s="12"/>
      <c r="E9" s="30"/>
      <c r="F9" s="12"/>
      <c r="G9" s="30"/>
      <c r="H9" s="12"/>
      <c r="I9" s="30"/>
      <c r="J9" s="12"/>
      <c r="K9" s="30"/>
      <c r="L9" s="12"/>
      <c r="M9" s="31"/>
    </row>
    <row r="10" spans="1:13" x14ac:dyDescent="0.3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4"/>
    </row>
  </sheetData>
  <mergeCells count="2">
    <mergeCell ref="A3:M3"/>
    <mergeCell ref="A1:M1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Özet</vt:lpstr>
      <vt:lpstr>Hakediş Takip</vt:lpstr>
      <vt:lpstr>Tutanak ve Ekler</vt:lpstr>
      <vt:lpstr>Kesintiler</vt:lpstr>
      <vt:lpstr>Tüm İmalatlar Master</vt:lpstr>
      <vt:lpstr>Birim Fiyat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CephePro</dc:creator>
  <cp:lastModifiedBy>CephePro</cp:lastModifiedBy>
  <dcterms:created xsi:type="dcterms:W3CDTF">2026-09-19T11:06:20Z</dcterms:created>
  <dcterms:modified xsi:type="dcterms:W3CDTF">2026-09-22T07:51:05Z</dcterms:modified>
</cp:coreProperties>
</file>