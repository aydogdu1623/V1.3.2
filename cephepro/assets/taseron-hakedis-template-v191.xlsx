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330d1dc24c4661" /></Relationships>
</file>

<file path=xl/workbook.xml><?xml version="1.0" encoding="utf-8"?>
<workbook xmlns="http://schemas.openxmlformats.org/spreadsheetml/2006/main">
  <sheets>
    <sheet xmlns:r="http://schemas.openxmlformats.org/officeDocument/2006/relationships" name="Özet" sheetId="1" r:id="Rdcfd21d719514764"/>
    <sheet xmlns:r="http://schemas.openxmlformats.org/officeDocument/2006/relationships" name="Hakediş" sheetId="2" r:id="R142410d9b399478a"/>
    <sheet xmlns:r="http://schemas.openxmlformats.org/officeDocument/2006/relationships" name="Tutanak ve Ekler" sheetId="3" r:id="R5c6e3648cbcd469d"/>
    <sheet xmlns:r="http://schemas.openxmlformats.org/officeDocument/2006/relationships" name="Kesintiler" sheetId="4" r:id="Rd01fb3f84dd14755"/>
    <sheet xmlns:r="http://schemas.openxmlformats.org/officeDocument/2006/relationships" name="Kullanım Kılavuzu" sheetId="5" r:id="R5390bda6db6e4e4a"/>
  </sheets>
</workbook>
</file>

<file path=xl/sharedStrings.xml><?xml version="1.0" encoding="utf-8"?>
<sst xmlns="http://schemas.openxmlformats.org/spreadsheetml/2006/main"/>
</file>

<file path=xl/styles.xml><?xml version="1.0" encoding="utf-8"?>
<styleSheet xmlns="http://schemas.openxmlformats.org/spreadsheetml/2006/main">
  <numFmts count="4">
    <numFmt numFmtId="200" formatCode="dd/mm/yyyy"/>
    <numFmt numFmtId="201" formatCode="0&quot;. Hakediş Dönemi&quot;"/>
    <numFmt numFmtId="202" formatCode="0%"/>
    <numFmt numFmtId="203" formatCode="#,##0.00;[Red](#,##0.00);&quot;—&quot;"/>
  </numFmts>
  <fonts count="10">
    <font>
      <sz val="11"/>
      <name val="Carlito"/>
    </font>
    <font>
      <sz val="10"/>
      <color rgb="FF233647"/>
      <name val="Arial"/>
    </font>
    <font>
      <b/>
      <sz val="16"/>
      <color rgb="FF203A52"/>
      <name val="Arial"/>
    </font>
    <font>
      <sz val="10"/>
      <color rgb="FF174F86"/>
      <name val="Arial"/>
    </font>
    <font>
      <i/>
      <sz val="10"/>
      <color rgb="FF233647"/>
      <name val="Arial"/>
    </font>
    <font>
      <b/>
      <sz val="10"/>
      <color rgb="FFFFFFFF"/>
      <name val="Arial"/>
    </font>
    <font>
      <sz val="9"/>
      <color rgb="FF657788"/>
      <name val="Arial"/>
    </font>
    <font>
      <b/>
      <sz val="10"/>
      <color rgb="FF233647"/>
      <name val="Arial"/>
    </font>
    <font>
      <i/>
      <sz val="9"/>
      <color rgb="FF657788"/>
      <name val="Arial"/>
    </font>
    <font>
      <i/>
      <sz val="9"/>
      <color rgb="FF174F86"/>
      <name val="Arial"/>
    </font>
  </fonts>
  <fills count="8">
    <fill>
      <patternFill patternType="none"/>
    </fill>
    <fill>
      <patternFill patternType="gray125"/>
    </fill>
    <fill>
      <patternFill patternType="solid">
        <fgColor rgb="FFFFF2CC"/>
      </patternFill>
    </fill>
    <fill>
      <patternFill patternType="solid">
        <fgColor rgb="FF203A52"/>
      </patternFill>
    </fill>
    <fill>
      <patternFill patternType="solid">
        <fgColor rgb="FFF0F4F7"/>
      </patternFill>
    </fill>
    <fill>
      <patternFill patternType="solid">
        <fgColor rgb="FFE4EFE8"/>
      </patternFill>
    </fill>
    <fill>
      <patternFill patternType="solid">
        <fgColor rgb="FFFFFFFF"/>
      </patternFill>
    </fill>
    <fill>
      <patternFill patternType="solid">
        <fgColor rgb="FF315E7F"/>
      </patternFill>
    </fill>
  </fills>
  <borders count="3">
    <border/>
    <border>
      <bottom style="thin">
        <color rgb="FFCED8E1"/>
      </bottom>
    </border>
    <border>
      <top style="thin">
        <color rgb="FFCED8E1"/>
      </top>
    </border>
  </borders>
  <cellStyleXfs count="1">
    <xf numFmtId="0" fontId="0" fillId="0" borderId="0"/>
  </cellStyleXfs>
  <cellXfs count="43">
    <xf numFmtId="0" fontId="0" fillId="0" borderId="0" xfId="0"/>
    <xf numFmtId="0" fontId="1" fillId="0" borderId="0" xfId="0" applyNumberFormat="1" applyFont="1" applyFill="1" applyBorder="1"/>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2" fillId="0" borderId="1" xfId="0" applyNumberFormat="1" applyFont="1" applyFill="1" applyBorder="1" applyAlignment="1">
      <alignment vertical="center"/>
    </xf>
    <xf numFmtId="0" fontId="1" fillId="0" borderId="1" xfId="0" applyNumberFormat="1" applyFont="1" applyFill="1" applyBorder="1" applyAlignment="1">
      <alignment vertical="center"/>
    </xf>
    <xf numFmtId="0" fontId="1" fillId="2" borderId="0" xfId="0" applyNumberFormat="1" applyFont="1" applyFill="1" applyBorder="1" applyAlignment="1">
      <alignment vertical="center"/>
    </xf>
    <xf numFmtId="0" fontId="3" fillId="2" borderId="0" xfId="0" applyNumberFormat="1" applyFont="1" applyFill="1" applyBorder="1" applyAlignment="1">
      <alignment vertical="center"/>
    </xf>
    <xf numFmtId="200" fontId="3" fillId="2" borderId="0" xfId="0" applyNumberFormat="1" applyFont="1" applyFill="1" applyBorder="1" applyAlignment="1">
      <alignment vertical="center"/>
    </xf>
    <xf numFmtId="0" fontId="4" fillId="0" borderId="0" xfId="0" applyNumberFormat="1" applyFont="1" applyFill="1" applyBorder="1" applyAlignment="1">
      <alignment vertical="center"/>
    </xf>
    <xf numFmtId="0" fontId="1" fillId="3" borderId="0" xfId="0" applyNumberFormat="1" applyFont="1" applyFill="1" applyBorder="1" applyAlignment="1">
      <alignment vertical="center"/>
    </xf>
    <xf numFmtId="0" fontId="5" fillId="3" borderId="0" xfId="0" applyNumberFormat="1" applyFont="1" applyFill="1" applyBorder="1" applyAlignment="1">
      <alignment vertical="center"/>
    </xf>
    <xf numFmtId="0" fontId="5" fillId="3" borderId="0" xfId="0" applyNumberFormat="1" applyFont="1" applyFill="1" applyBorder="1" applyAlignment="1">
      <alignment vertical="center" wrapText="1"/>
    </xf>
    <xf numFmtId="0" fontId="5" fillId="3" borderId="0" xfId="0" applyNumberFormat="1" applyFont="1" applyFill="1" applyBorder="1" applyAlignment="1">
      <alignment horizontal="center" vertical="center" wrapText="1"/>
    </xf>
    <xf numFmtId="201" fontId="5" fillId="3" borderId="0" xfId="0" applyNumberFormat="1" applyFont="1" applyFill="1" applyBorder="1" applyAlignment="1">
      <alignment horizontal="center" vertical="center" wrapText="1"/>
    </xf>
    <xf numFmtId="0" fontId="6" fillId="0" borderId="0" xfId="0" applyNumberFormat="1" applyFont="1" applyFill="1" applyBorder="1" applyAlignment="1">
      <alignment vertical="center"/>
    </xf>
    <xf numFmtId="0" fontId="6" fillId="0" borderId="0" xfId="0" applyNumberFormat="1" applyFont="1" applyFill="1" applyBorder="1" applyAlignment="1">
      <alignment vertical="center" wrapText="1"/>
    </xf>
    <xf numFmtId="202" fontId="3" fillId="2" borderId="0" xfId="0" applyNumberFormat="1" applyFont="1" applyFill="1" applyBorder="1" applyAlignment="1">
      <alignment vertical="center"/>
    </xf>
    <xf numFmtId="203" fontId="1" fillId="0" borderId="0" xfId="0" applyNumberFormat="1" applyFont="1" applyFill="1" applyBorder="1" applyAlignment="1">
      <alignment vertical="center"/>
    </xf>
    <xf numFmtId="203" fontId="1" fillId="4" borderId="0" xfId="0" applyNumberFormat="1" applyFont="1" applyFill="1" applyBorder="1" applyAlignment="1">
      <alignment vertical="center"/>
    </xf>
    <xf numFmtId="203" fontId="1" fillId="4" borderId="0" xfId="0" applyNumberFormat="1" applyFont="1" applyFill="1" applyBorder="1" applyAlignment="1">
      <alignment horizontal="right" vertical="center"/>
    </xf>
    <xf numFmtId="0" fontId="7" fillId="0" borderId="0" xfId="0" applyNumberFormat="1" applyFont="1" applyFill="1" applyBorder="1" applyAlignment="1">
      <alignment vertical="center"/>
    </xf>
    <xf numFmtId="203" fontId="7" fillId="4" borderId="0" xfId="0" applyNumberFormat="1" applyFont="1" applyFill="1" applyBorder="1" applyAlignment="1">
      <alignment horizontal="right" vertical="center"/>
    </xf>
    <xf numFmtId="0" fontId="7" fillId="0" borderId="2" xfId="0" applyNumberFormat="1" applyFont="1" applyFill="1" applyBorder="1" applyAlignment="1">
      <alignment vertical="center"/>
    </xf>
    <xf numFmtId="203" fontId="7" fillId="4" borderId="2" xfId="0" applyNumberFormat="1" applyFont="1" applyFill="1" applyBorder="1" applyAlignment="1">
      <alignment horizontal="right" vertical="center"/>
    </xf>
    <xf numFmtId="0" fontId="7" fillId="5" borderId="2" xfId="0" applyNumberFormat="1" applyFont="1" applyFill="1" applyBorder="1" applyAlignment="1">
      <alignment vertical="center"/>
    </xf>
    <xf numFmtId="203" fontId="7" fillId="5" borderId="2" xfId="0" applyNumberFormat="1" applyFont="1" applyFill="1" applyBorder="1" applyAlignment="1">
      <alignment horizontal="right" vertical="center"/>
    </xf>
    <xf numFmtId="203" fontId="7" fillId="5" borderId="0" xfId="0" applyNumberFormat="1" applyFont="1" applyFill="1" applyBorder="1" applyAlignment="1">
      <alignment horizontal="right" vertical="center"/>
    </xf>
    <xf numFmtId="0" fontId="8" fillId="0" borderId="0" xfId="0" applyNumberFormat="1" applyFont="1" applyFill="1" applyBorder="1" applyAlignment="1">
      <alignment vertical="center"/>
    </xf>
    <xf numFmtId="0" fontId="1" fillId="6" borderId="0" xfId="0" applyNumberFormat="1" applyFont="1" applyFill="1" applyBorder="1" applyAlignment="1">
      <alignment vertical="center"/>
    </xf>
    <xf numFmtId="0" fontId="6" fillId="6" borderId="0" xfId="0" applyNumberFormat="1" applyFont="1" applyFill="1" applyBorder="1" applyAlignment="1">
      <alignment vertical="center"/>
    </xf>
    <xf numFmtId="0" fontId="6" fillId="6" borderId="0" xfId="0" applyNumberFormat="1" applyFont="1" applyFill="1" applyBorder="1" applyAlignment="1">
      <alignment vertical="center" wrapText="1"/>
    </xf>
    <xf numFmtId="0" fontId="8" fillId="2" borderId="0" xfId="0" applyNumberFormat="1" applyFont="1" applyFill="1" applyBorder="1" applyAlignment="1">
      <alignment vertical="center"/>
    </xf>
    <xf numFmtId="0" fontId="9" fillId="2" borderId="0" xfId="0" applyNumberFormat="1" applyFont="1" applyFill="1" applyBorder="1" applyAlignment="1">
      <alignment vertical="center"/>
    </xf>
    <xf numFmtId="0" fontId="1" fillId="7" borderId="0" xfId="0" applyNumberFormat="1" applyFont="1" applyFill="1" applyBorder="1" applyAlignment="1">
      <alignment vertical="center"/>
    </xf>
    <xf numFmtId="0" fontId="5" fillId="7" borderId="0" xfId="0" applyNumberFormat="1" applyFont="1" applyFill="1" applyBorder="1" applyAlignment="1">
      <alignment vertical="center"/>
    </xf>
    <xf numFmtId="0" fontId="5" fillId="7" borderId="0" xfId="0" applyNumberFormat="1" applyFont="1" applyFill="1" applyBorder="1" applyAlignment="1">
      <alignment horizontal="center" vertical="center"/>
    </xf>
    <xf numFmtId="203" fontId="7" fillId="0" borderId="0" xfId="0" applyNumberFormat="1" applyFont="1" applyFill="1" applyBorder="1" applyAlignment="1">
      <alignment vertical="center"/>
    </xf>
    <xf numFmtId="0" fontId="1" fillId="4" borderId="0" xfId="0" applyNumberFormat="1" applyFont="1" applyFill="1" applyBorder="1" applyAlignment="1">
      <alignment vertical="center"/>
    </xf>
    <xf numFmtId="0" fontId="1" fillId="4" borderId="0" xfId="0" applyNumberFormat="1" applyFont="1" applyFill="1" applyBorder="1" applyAlignment="1">
      <alignment horizontal="right" vertical="center"/>
    </xf>
    <xf numFmtId="203" fontId="3" fillId="2" borderId="0" xfId="0" applyNumberFormat="1" applyFont="1" applyFill="1" applyBorder="1" applyAlignment="1">
      <alignment vertical="center"/>
    </xf>
    <xf numFmtId="0" fontId="5" fillId="3" borderId="0" xfId="0" applyNumberFormat="1" applyFont="1" applyFill="1" applyBorder="1" applyAlignment="1">
      <alignment horizontal="center" vertical="center"/>
    </xf>
    <xf numFmtId="0" fontId="1" fillId="0" borderId="0" xfId="0" applyNumberFormat="1" applyFont="1" applyFill="1" applyBorder="1" applyAlignment="1">
      <alignment vertical="center" wrapText="1"/>
    </xf>
  </cellXfs>
  <cellStyles count="1">
    <cellStyle name="Normal" xfId="0"/>
  </cellStyles>
  <dxfs count="10">
    <dxf>
      <font>
        <b/>
        <color rgb="FF9C2525"/>
      </font>
      <fill>
        <patternFill patternType="solid">
          <bgColor rgb="FFFCE8E6"/>
        </patternFill>
      </fill>
    </dxf>
    <dxf>
      <font>
        <color rgb="FF9C2525"/>
      </font>
      <fill>
        <patternFill patternType="solid">
          <bgColor rgb="FFFCE8E6"/>
        </patternFill>
      </fill>
    </dxf>
    <dxf>
      <font>
        <color rgb="FF9C2525"/>
      </font>
      <fill>
        <patternFill patternType="solid">
          <bgColor rgb="FFFCE8E6"/>
        </patternFill>
      </fill>
    </dxf>
    <dxf>
      <font>
        <color rgb="FF9C2525"/>
      </font>
      <fill>
        <patternFill patternType="solid">
          <bgColor rgb="FFFCE8E6"/>
        </patternFill>
      </fill>
    </dxf>
    <dxf>
      <font>
        <color rgb="FF9C2525"/>
      </font>
      <fill>
        <patternFill patternType="solid">
          <bgColor rgb="FFFCE8E6"/>
        </patternFill>
      </fill>
    </dxf>
    <dxf>
      <font>
        <color rgb="FF9C2525"/>
      </font>
      <fill>
        <patternFill patternType="solid">
          <bgColor rgb="FFFCE8E6"/>
        </patternFill>
      </fill>
    </dxf>
    <dxf>
      <font>
        <color rgb="FF9C2525"/>
      </font>
      <fill>
        <patternFill patternType="solid">
          <bgColor rgb="FFFCE8E6"/>
        </patternFill>
      </fill>
    </dxf>
    <dxf>
      <font>
        <b/>
        <color rgb="FF9C2525"/>
      </font>
      <fill>
        <patternFill patternType="solid">
          <bgColor rgb="FFFCE8E6"/>
        </patternFill>
      </fill>
    </dxf>
    <dxf>
      <font>
        <b/>
        <color rgb="FF9C2525"/>
      </font>
      <fill>
        <patternFill patternType="solid">
          <bgColor rgb="FFFCE8E6"/>
        </patternFill>
      </fill>
    </dxf>
    <dxf>
      <font>
        <b/>
        <color rgb="FF9C2525"/>
      </font>
      <fill>
        <patternFill patternType="solid">
          <bgColor rgb="FFFCE8E6"/>
        </patternFill>
      </fill>
    </dxf>
  </dxfs>
</styleSheet>
</file>

<file path=xl/_rels/workbook.xml.rels>&#65279;<?xml version="1.0" encoding="utf-8"?><Relationships xmlns="http://schemas.openxmlformats.org/package/2006/relationships"><Relationship Type="http://schemas.openxmlformats.org/officeDocument/2006/relationships/styles" Target="styles.xml" Id="R0a93c0075bf24c1a" /><Relationship Type="http://schemas.openxmlformats.org/officeDocument/2006/relationships/theme" Target="theme/theme1.xml" Id="Re9a795e1492c4d60" /><Relationship Type="http://schemas.openxmlformats.org/officeDocument/2006/relationships/sharedStrings" Target="sharedStrings.xml" Id="R91169ef51a5e4e04" /><Relationship Type="http://schemas.openxmlformats.org/officeDocument/2006/relationships/worksheet" Target="worksheets/sheet1.xml" Id="Rdcfd21d719514764" /><Relationship Type="http://schemas.openxmlformats.org/officeDocument/2006/relationships/worksheet" Target="worksheets/sheet2.xml" Id="R142410d9b399478a" /><Relationship Type="http://schemas.openxmlformats.org/officeDocument/2006/relationships/worksheet" Target="worksheets/sheet3.xml" Id="R5c6e3648cbcd469d" /><Relationship Type="http://schemas.openxmlformats.org/officeDocument/2006/relationships/worksheet" Target="worksheets/sheet4.xml" Id="Rd01fb3f84dd14755" /><Relationship Type="http://schemas.openxmlformats.org/officeDocument/2006/relationships/worksheet" Target="worksheets/sheet5.xml" Id="R5390bda6db6e4e4a" /></Relationships>
</file>

<file path=xl/tables/table1.xml><?xml version="1.0" encoding="utf-8"?>
<table xmlns="http://schemas.openxmlformats.org/spreadsheetml/2006/main" id="1" name="tblHakedis" displayName="tblHakedis" ref="A7:S107" headerRowCount="1" totalsRowCount="0" totalsRowShown="0">
  <tableColumns count="19">
    <tableColumn id="1" name="Blok"/>
    <tableColumn id="2" name="Cephe"/>
    <tableColumn id="3" name="İş Kalemi"/>
    <tableColumn id="4" name="Toplam Metraj"/>
    <tableColumn id="5" name="Kümülatif Metraj"/>
    <tableColumn id="6" name="Birim"/>
    <tableColumn id="7" name="Birim Fiyat 1"/>
    <tableColumn id="8" name="Verilecek Miktar 1"/>
    <tableColumn id="9" name="Tutar 1"/>
    <tableColumn id="10" name="Birim Fiyat 2"/>
    <tableColumn id="11" name="Verilecek Miktar 2"/>
    <tableColumn id="12" name="Tutar 2"/>
    <tableColumn id="13" name="Birim Fiyat 3"/>
    <tableColumn id="14" name="Verilecek Miktar 3"/>
    <tableColumn id="15" name="Tutar 3"/>
    <tableColumn id="16" name="Dönem sonu"/>
    <tableColumn id="17" name="Toplam Verilen"/>
    <tableColumn id="18" name="Verilebilir Bakiye"/>
    <tableColumn id="19" name="Kontrol"/>
  </tableColumns>
  <tableStyleInfo name="TableStyleMedium2" showFirstColumn="0" showLastColumn="0" showRowStripes="1" showColumnStripes="0"/>
</table>
</file>

<file path=xl/tables/table2.xml><?xml version="1.0" encoding="utf-8"?>
<table xmlns="http://schemas.openxmlformats.org/spreadsheetml/2006/main" id="2" name="tblTutanak" displayName="tblTutanak" ref="A7:I107" headerRowCount="1" totalsRowCount="0" totalsRowShown="0">
  <tableColumns count="9">
    <tableColumn id="1" name="Tarih"/>
    <tableColumn id="2" name="Hakediş Dönemi"/>
    <tableColumn id="3" name="Tür"/>
    <tableColumn id="4" name="Açıklama"/>
    <tableColumn id="5" name="Miktar"/>
    <tableColumn id="6" name="Birim"/>
    <tableColumn id="7" name="Birim Fiyat"/>
    <tableColumn id="8" name="Tutar"/>
    <tableColumn id="9" name="Kontrol"/>
  </tableColumns>
  <tableStyleInfo name="TableStyleMedium2" showFirstColumn="0" showLastColumn="0" showRowStripes="1" showColumnStripes="0"/>
</table>
</file>

<file path=xl/tables/table3.xml><?xml version="1.0" encoding="utf-8"?>
<table xmlns="http://schemas.openxmlformats.org/spreadsheetml/2006/main" id="3" name="tblKesinti" displayName="tblKesinti" ref="A7:I107" headerRowCount="1" totalsRowCount="0" totalsRowShown="0">
  <tableColumns count="9">
    <tableColumn id="1" name="Tarih"/>
    <tableColumn id="2" name="Hakediş Dönemi"/>
    <tableColumn id="3" name="Tür"/>
    <tableColumn id="4" name="Açıklama"/>
    <tableColumn id="5" name="Miktar"/>
    <tableColumn id="6" name="Birim"/>
    <tableColumn id="7" name="Birim Fiyat"/>
    <tableColumn id="8" name="Tutar"/>
    <tableColumn id="9" name="Kontro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tables/table1.xml" Id="R31c56f8eaed246a2" /></Relationships>
</file>

<file path=xl/worksheets/_rels/sheet3.xml.rels>&#65279;<?xml version="1.0" encoding="utf-8"?><Relationships xmlns="http://schemas.openxmlformats.org/package/2006/relationships"><Relationship Type="http://schemas.openxmlformats.org/officeDocument/2006/relationships/table" Target="../tables/table2.xml" Id="Red742ba3e3c64acd" /></Relationships>
</file>

<file path=xl/worksheets/_rels/sheet4.xml.rels>&#65279;<?xml version="1.0" encoding="utf-8"?><Relationships xmlns="http://schemas.openxmlformats.org/package/2006/relationships"><Relationship Type="http://schemas.openxmlformats.org/officeDocument/2006/relationships/table" Target="../tables/table3.xml" Id="R6ee252b924fd4909" /></Relationships>
</file>

<file path=xl/worksheets/sheet1.xml><?xml version="1.0" encoding="utf-8"?>
<worksheet xmlns="http://schemas.openxmlformats.org/spreadsheetml/2006/main">
  <sheetPr>
    <tabColor rgb="FF203A52"/>
  </sheetPr>
  <sheetViews>
    <sheetView showGridLines="0" workbookViewId="0"/>
  </sheetViews>
  <sheetFormatPr defaultRowHeight="15"/>
  <cols>
    <col min="1" max="1" width="34" hidden="0" customWidth="1"/>
    <col min="2" max="2" width="25" hidden="0" customWidth="1"/>
    <col min="3" max="3" width="25" hidden="0" customWidth="1"/>
    <col min="4" max="4" width="25" hidden="0" customWidth="1"/>
    <col min="5" max="5" width="14" hidden="0" customWidth="1"/>
    <col min="6" max="6" width="25" hidden="0" customWidth="1"/>
  </cols>
  <sheetData>
    <row r="1" ht="24" customHeight="1">
      <c r="A1" s="2"/>
      <c r="B1" s="2"/>
      <c r="C1" s="2"/>
      <c r="D1" s="2"/>
      <c r="E1" s="2"/>
      <c r="F1" s="2"/>
    </row>
    <row r="2" ht="32" customHeight="1">
      <c r="A2" s="4" t="str">
        <v>Proje Bilgisi &amp; Hakediş Özeti</v>
      </c>
      <c r="B2" s="5"/>
      <c r="C2" s="5"/>
      <c r="D2" s="5"/>
      <c r="E2" s="5"/>
      <c r="F2" s="5"/>
    </row>
    <row r="3" ht="24" customHeight="1">
      <c r="A3" s="2"/>
      <c r="B3" s="2"/>
      <c r="C3" s="2"/>
      <c r="D3" s="2"/>
      <c r="E3" s="2"/>
      <c r="F3" s="2"/>
    </row>
    <row r="4" ht="24" customHeight="1">
      <c r="A4" s="2" t="str">
        <v>Proje Adı</v>
      </c>
      <c r="B4" s="7"/>
      <c r="C4" s="7"/>
      <c r="D4" s="7"/>
      <c r="E4" s="2"/>
      <c r="F4" s="2"/>
    </row>
    <row r="5" ht="24" customHeight="1">
      <c r="A5" s="2" t="str">
        <v>Taşeron Firma</v>
      </c>
      <c r="B5" s="7"/>
      <c r="C5" s="7"/>
      <c r="D5" s="7"/>
      <c r="E5" s="2"/>
      <c r="F5" s="2"/>
    </row>
    <row r="6" ht="24" customHeight="1">
      <c r="A6" s="2" t="str">
        <v>Sözleşme Tarihi</v>
      </c>
      <c r="B6" s="8"/>
      <c r="C6" s="7"/>
      <c r="D6" s="7"/>
      <c r="E6" s="2"/>
      <c r="F6" s="2"/>
    </row>
    <row r="7" ht="24" customHeight="1">
      <c r="A7" s="2" t="str">
        <v>Şantiye Bilgileri</v>
      </c>
      <c r="B7" s="7"/>
      <c r="C7" s="7"/>
      <c r="D7" s="7"/>
      <c r="E7" s="2"/>
      <c r="F7" s="2"/>
    </row>
    <row r="8" ht="24" customHeight="1">
      <c r="A8" s="2"/>
      <c r="B8" s="2"/>
      <c r="C8" s="2"/>
      <c r="D8" s="2"/>
      <c r="E8" s="2"/>
      <c r="F8" s="2"/>
    </row>
    <row r="9" ht="24" customHeight="1">
      <c r="A9" s="9" t="str">
        <v>Tutarlar TL</v>
      </c>
      <c r="B9" s="2" t="str">
        <v>Sarı: giriş alanı</v>
      </c>
      <c r="C9" s="2" t="str">
        <v>Gri: otomatik hesap</v>
      </c>
      <c r="D9" s="2"/>
      <c r="E9" s="2"/>
      <c r="F9" s="2"/>
    </row>
    <row r="10" ht="40" customHeight="1">
      <c r="A10" s="13" t="str">
        <v>HAKEDİŞ KALEMLERİ</v>
      </c>
      <c r="B10" s="14" t="n">
        <v>1</v>
      </c>
      <c r="C10" s="14" t="n">
        <v>2</v>
      </c>
      <c r="D10" s="14" t="n">
        <v>3</v>
      </c>
      <c r="E10" s="16" t="str">
        <v>Dönem sonu</v>
      </c>
      <c r="F10" s="13" t="str">
        <v>GENEL TOPLAM</v>
      </c>
    </row>
    <row r="11" ht="24" customHeight="1">
      <c r="A11" s="2" t="str">
        <v>Dönem Başlangıcı</v>
      </c>
      <c r="B11" s="8"/>
      <c r="C11" s="8"/>
      <c r="D11" s="8"/>
      <c r="E11" s="2"/>
      <c r="F11" s="2"/>
    </row>
    <row r="12" ht="24" customHeight="1">
      <c r="A12" s="2" t="str">
        <v>Dönem Bitişi</v>
      </c>
      <c r="B12" s="8"/>
      <c r="C12" s="8"/>
      <c r="D12" s="8"/>
      <c r="E12" s="2"/>
      <c r="F12" s="2"/>
    </row>
    <row r="13" ht="24" customHeight="1">
      <c r="A13" s="2" t="str">
        <v>Teminat Oranı</v>
      </c>
      <c r="B13" s="17" t="n">
        <v>0.1</v>
      </c>
      <c r="C13" s="17" t="n">
        <v>0.1</v>
      </c>
      <c r="D13" s="17" t="n">
        <v>0.1</v>
      </c>
      <c r="E13" s="2"/>
      <c r="F13" s="2"/>
    </row>
    <row r="14" ht="24" customHeight="1">
      <c r="A14" s="2"/>
      <c r="B14" s="2"/>
      <c r="C14" s="2"/>
      <c r="D14" s="2"/>
      <c r="E14" s="2"/>
      <c r="F14" s="2"/>
    </row>
    <row r="15" ht="24" customHeight="1">
      <c r="A15" s="2" t="str">
        <v>İmalat Tutarı</v>
      </c>
      <c r="B15" s="20" t="n">
        <f>INDEX('Hakediş'!$G$6:$P$6,1,MATCH(B$10,'Hakediş'!$G$4:$P$4,0))</f>
      </c>
      <c r="C15" s="20" t="n">
        <f>INDEX('Hakediş'!$G$6:$P$6,1,MATCH(C$10,'Hakediş'!$G$4:$P$4,0))</f>
      </c>
      <c r="D15" s="20" t="n">
        <f>INDEX('Hakediş'!$G$6:$P$6,1,MATCH(D$10,'Hakediş'!$G$4:$P$4,0))</f>
      </c>
      <c r="E15" s="2"/>
      <c r="F15" s="20" t="n">
        <f>IF(COUNT(B15:E15)=COUNT($B$10:$E$10),SUM(B15:E15),"Eksik giriş")</f>
      </c>
    </row>
    <row r="16" ht="24" customHeight="1">
      <c r="A16" s="2" t="str">
        <v>Tutanak / Ekstra / Yevmiye</v>
      </c>
      <c r="B16" s="20" t="n">
        <f>IF(COUNTIFS(tblTutanak[Hakediş Dönemi],B$10,tblTutanak[Tutar],"Eksik giriş")&gt;0,"Eksik giriş",SUMIFS(tblTutanak[Tutar],tblTutanak[Hakediş Dönemi],B$10))</f>
      </c>
      <c r="C16" s="20" t="n">
        <f>IF(COUNTIFS(tblTutanak[Hakediş Dönemi],C$10,tblTutanak[Tutar],"Eksik giriş")&gt;0,"Eksik giriş",SUMIFS(tblTutanak[Tutar],tblTutanak[Hakediş Dönemi],C$10))</f>
      </c>
      <c r="D16" s="20" t="n">
        <f>IF(COUNTIFS(tblTutanak[Hakediş Dönemi],D$10,tblTutanak[Tutar],"Eksik giriş")&gt;0,"Eksik giriş",SUMIFS(tblTutanak[Tutar],tblTutanak[Hakediş Dönemi],D$10))</f>
      </c>
      <c r="E16" s="2"/>
      <c r="F16" s="20" t="n">
        <f>IF(COUNT(B16:E16)=COUNT($B$10:$E$10),SUM(B16:E16),"Eksik giriş")</f>
      </c>
    </row>
    <row r="17" ht="24" customHeight="1">
      <c r="A17" s="23" t="str">
        <v>Brüt Toplam</v>
      </c>
      <c r="B17" s="24" t="n">
        <f>IF(COUNT(B15:B16)=2,SUM(B15:B16),"Eksik giriş")</f>
      </c>
      <c r="C17" s="24" t="n">
        <f>IF(COUNT(C15:C16)=2,SUM(C15:C16),"Eksik giriş")</f>
      </c>
      <c r="D17" s="24" t="n">
        <f>IF(COUNT(D15:D16)=2,SUM(D15:D16),"Eksik giriş")</f>
      </c>
      <c r="E17" s="2"/>
      <c r="F17" s="22" t="n">
        <f>IF(COUNT(B17:E17)=COUNT($B$10:$E$10),SUM(B17:E17),"Eksik giriş")</f>
      </c>
    </row>
    <row r="18" ht="24" customHeight="1">
      <c r="A18" s="2" t="str">
        <v>Kesintiler</v>
      </c>
      <c r="B18" s="20" t="n">
        <f>IF(COUNTIFS(tblKesinti[Hakediş Dönemi],B$10,tblKesinti[Tutar],"Eksik giriş")&gt;0,"Eksik giriş",SUMIFS(tblKesinti[Tutar],tblKesinti[Hakediş Dönemi],B$10))</f>
      </c>
      <c r="C18" s="20" t="n">
        <f>IF(COUNTIFS(tblKesinti[Hakediş Dönemi],C$10,tblKesinti[Tutar],"Eksik giriş")&gt;0,"Eksik giriş",SUMIFS(tblKesinti[Tutar],tblKesinti[Hakediş Dönemi],C$10))</f>
      </c>
      <c r="D18" s="20" t="n">
        <f>IF(COUNTIFS(tblKesinti[Hakediş Dönemi],D$10,tblKesinti[Tutar],"Eksik giriş")&gt;0,"Eksik giriş",SUMIFS(tblKesinti[Tutar],tblKesinti[Hakediş Dönemi],D$10))</f>
      </c>
      <c r="E18" s="2"/>
      <c r="F18" s="20" t="n">
        <f>IF(COUNT(B18:E18)=COUNT($B$10:$E$10),SUM(B18:E18),"Eksik giriş")</f>
      </c>
    </row>
    <row r="19" ht="24" customHeight="1">
      <c r="A19" s="2" t="str">
        <v>Teminat Kesintisi</v>
      </c>
      <c r="B19" s="20" t="n">
        <f>IF(AND(ISNUMBER(B17),ISNUMBER(B13)),ROUND(B17*B13,2),"Eksik giriş")</f>
      </c>
      <c r="C19" s="20" t="n">
        <f>IF(AND(ISNUMBER(C17),ISNUMBER(C13)),ROUND(C17*C13,2),"Eksik giriş")</f>
      </c>
      <c r="D19" s="20" t="n">
        <f>IF(AND(ISNUMBER(D17),ISNUMBER(D13)),ROUND(D17*D13,2),"Eksik giriş")</f>
      </c>
      <c r="E19" s="2"/>
      <c r="F19" s="20" t="n">
        <f>IF(COUNT(B19:E19)=COUNT($B$10:$E$10),SUM(B19:E19),"Eksik giriş")</f>
      </c>
    </row>
    <row r="20" ht="32" customHeight="1">
      <c r="A20" s="25" t="str">
        <v>Net Hakediş Ödemesi</v>
      </c>
      <c r="B20" s="26" t="n">
        <f>IF(COUNT(B17:B19)=3,B17-B18-B19,"Eksik giriş")</f>
      </c>
      <c r="C20" s="26" t="n">
        <f>IF(COUNT(C17:C19)=3,C17-C18-C19,"Eksik giriş")</f>
      </c>
      <c r="D20" s="26" t="n">
        <f>IF(COUNT(D17:D19)=3,D17-D18-D19,"Eksik giriş")</f>
      </c>
      <c r="E20" s="2"/>
      <c r="F20" s="27" t="n">
        <f>IF(COUNT(B20:E20)=COUNT($B$10:$E$10),SUM(B20:E20),"Eksik giriş")</f>
      </c>
    </row>
    <row r="21" ht="24" customHeight="1">
      <c r="A21" s="2"/>
      <c r="B21" s="2"/>
      <c r="C21" s="2"/>
      <c r="D21" s="2"/>
      <c r="E21" s="2"/>
      <c r="F21" s="2"/>
    </row>
    <row r="22" ht="24" customHeight="1">
      <c r="A22" s="2"/>
      <c r="B22" s="2"/>
      <c r="C22" s="2"/>
      <c r="D22" s="2"/>
      <c r="E22" s="2"/>
      <c r="F22" s="2"/>
    </row>
    <row r="23" ht="24" customHeight="1">
      <c r="A23" s="21" t="str">
        <v>Kayıt kontrolleri</v>
      </c>
      <c r="B23" s="2"/>
      <c r="C23" s="2"/>
      <c r="D23" s="2"/>
      <c r="E23" s="2"/>
      <c r="F23" s="2"/>
    </row>
    <row r="24" ht="24" customHeight="1">
      <c r="A24" s="2" t="str">
        <v>İmalat satırı uyarısı</v>
      </c>
      <c r="B24" s="2" t="n">
        <f>ROWS(tblHakedis[Kontrol])-COUNTBLANK(tblHakedis[Kontrol])-COUNTIFS(tblHakedis[Kontrol],"Uygun")</f>
      </c>
      <c r="C24" s="2"/>
      <c r="D24" s="2"/>
      <c r="E24" s="2"/>
      <c r="F24" s="2"/>
    </row>
    <row r="25" ht="24" customHeight="1">
      <c r="A25" s="2" t="str">
        <v>Tutanak satırı uyarısı</v>
      </c>
      <c r="B25" s="2" t="n">
        <f>ROWS(tblTutanak[Kontrol])-COUNTBLANK(tblTutanak[Kontrol])-COUNTIFS(tblTutanak[Kontrol],"Uygun")</f>
      </c>
      <c r="C25" s="2"/>
      <c r="D25" s="2"/>
      <c r="E25" s="2"/>
      <c r="F25" s="2"/>
    </row>
    <row r="26" ht="24" customHeight="1">
      <c r="A26" s="2" t="str">
        <v>Kesinti satırı uyarısı</v>
      </c>
      <c r="B26" s="2" t="n">
        <f>ROWS(tblKesinti[Kontrol])-COUNTBLANK(tblKesinti[Kontrol])-COUNTIFS(tblKesinti[Kontrol],"Uygun")</f>
      </c>
      <c r="C26" s="2"/>
      <c r="D26" s="2"/>
      <c r="E26" s="2"/>
      <c r="F26" s="2"/>
    </row>
    <row r="27" ht="24" customHeight="1">
      <c r="A27" s="2"/>
      <c r="B27" s="2"/>
      <c r="C27" s="2"/>
      <c r="D27" s="2"/>
      <c r="E27" s="2"/>
      <c r="F27" s="2"/>
    </row>
    <row r="28" ht="24" customHeight="1">
      <c r="A28" s="2" t="str">
        <v>Kapsam</v>
      </c>
      <c r="B28" s="2" t="str">
        <v>KDV, vergi ve teminat iadesi ayrıca hesaplanmaz.</v>
      </c>
      <c r="C28" s="2"/>
      <c r="D28" s="2"/>
      <c r="E28" s="2"/>
      <c r="F28" s="2"/>
    </row>
    <row r="29" ht="24" customHeight="1">
      <c r="A29" s="2" t="str">
        <v>Kayıt durumu</v>
      </c>
      <c r="B29" s="2" t="str">
        <v>Uyarı varsa ilgili Kontrol sütununu inceleyin.</v>
      </c>
      <c r="C29" s="2"/>
      <c r="D29" s="2"/>
      <c r="E29" s="2"/>
      <c r="F29" s="2"/>
    </row>
  </sheetData>
  <conditionalFormatting sqref="B24:B26">
    <cfRule type="cellIs" dxfId="0" priority="1" operator="greaterThan">
      <formula>0</formula>
    </cfRule>
  </conditionalFormatting>
  <conditionalFormatting sqref="B15:F20">
    <cfRule type="containsText" dxfId="1" priority="2" operator="containsText" text="Eksik giriş"/>
  </conditionalFormatting>
  <conditionalFormatting sqref="B10:D10">
    <cfRule type="duplicateValues" dxfId="2" priority="3"/>
  </conditionalFormatting>
  <conditionalFormatting sqref="B12:D12">
    <cfRule type="expression" dxfId="3" priority="4">
      <formula>AND(B11&lt;&gt;"",B12&lt;&gt;"",B12&lt;B11)</formula>
    </cfRule>
  </conditionalFormatting>
  <pageMargins left="0.7" right="0.7" top="0.75" bottom="0.75" header="0.3" footer="0.3"/>
</worksheet>
</file>

<file path=xl/worksheets/sheet2.xml><?xml version="1.0" encoding="utf-8"?>
<worksheet xmlns="http://schemas.openxmlformats.org/spreadsheetml/2006/main">
  <sheetPr>
    <tabColor rgb="FF315E7F"/>
  </sheetPr>
  <sheetViews>
    <sheetView showGridLines="0" workbookViewId="0">
      <pane xSplit="6" ySplit="7" topLeftCell="G8" activePane="bottomRight" state="frozen"/>
    </sheetView>
  </sheetViews>
  <sheetFormatPr defaultRowHeight="15"/>
  <cols>
    <col min="1" max="1" width="12" hidden="0" customWidth="1"/>
    <col min="2" max="2" width="15" hidden="0" customWidth="1"/>
    <col min="3" max="3" width="27" hidden="0" customWidth="1"/>
    <col min="4" max="4" width="16" hidden="0" customWidth="1"/>
    <col min="5" max="5" width="17" hidden="0" customWidth="1"/>
    <col min="6" max="6" width="10" hidden="0" customWidth="1"/>
    <col min="7" max="7" width="16" hidden="0" customWidth="1"/>
    <col min="8" max="8" width="18" hidden="0" customWidth="1"/>
    <col min="9" max="9" width="21" hidden="0" customWidth="1"/>
    <col min="10" max="10" width="16" hidden="0" customWidth="1"/>
    <col min="11" max="11" width="18" hidden="0" customWidth="1"/>
    <col min="12" max="12" width="21" hidden="0" customWidth="1"/>
    <col min="13" max="13" width="16" hidden="0" customWidth="1"/>
    <col min="14" max="14" width="18" hidden="0" customWidth="1"/>
    <col min="15" max="15" width="21" hidden="0" customWidth="1"/>
    <col min="16" max="16" width="14" hidden="0" customWidth="1"/>
    <col min="17" max="17" width="19" hidden="0" customWidth="1"/>
    <col min="18" max="18" width="20" hidden="0" customWidth="1"/>
    <col min="19" max="19" width="26" hidden="0" customWidth="1"/>
  </cols>
  <sheetData>
    <row r="1" ht="24" customHeight="1">
      <c r="A1" s="2"/>
      <c r="B1" s="2"/>
      <c r="C1" s="2"/>
      <c r="D1" s="2"/>
      <c r="E1" s="2"/>
      <c r="F1" s="2"/>
      <c r="G1" s="2"/>
      <c r="H1" s="2"/>
      <c r="I1" s="2"/>
      <c r="J1" s="2"/>
      <c r="K1" s="2"/>
      <c r="L1" s="2"/>
      <c r="M1" s="2"/>
      <c r="N1" s="2"/>
      <c r="O1" s="2"/>
      <c r="P1" s="2"/>
      <c r="Q1" s="2"/>
      <c r="R1" s="2"/>
      <c r="S1" s="2"/>
    </row>
    <row r="2" ht="32" customHeight="1">
      <c r="A2" s="4" t="str">
        <v>Taşeron Hakediş Takip Formu</v>
      </c>
      <c r="B2" s="5"/>
      <c r="C2" s="5"/>
      <c r="D2" s="5"/>
      <c r="E2" s="5"/>
      <c r="F2" s="5"/>
      <c r="G2" s="5"/>
      <c r="H2" s="5"/>
      <c r="I2" s="5"/>
      <c r="J2" s="5"/>
      <c r="K2" s="5"/>
      <c r="L2" s="5"/>
      <c r="M2" s="5"/>
      <c r="N2" s="5"/>
      <c r="O2" s="5"/>
      <c r="P2" s="5"/>
      <c r="Q2" s="5"/>
      <c r="R2" s="5"/>
      <c r="S2" s="5"/>
    </row>
    <row r="3" ht="24" customHeight="1">
      <c r="A3" s="2" t="str">
        <v>Kümülatif Metraj: sahada onaylanan toplam imalat. Verilecek Miktar: yalnız bu dönemde hakedişe giren miktar.</v>
      </c>
      <c r="B3" s="2"/>
      <c r="C3" s="2"/>
      <c r="D3" s="2"/>
      <c r="E3" s="2"/>
      <c r="F3" s="2"/>
      <c r="G3" s="2"/>
      <c r="H3" s="2"/>
      <c r="I3" s="2"/>
      <c r="J3" s="2"/>
      <c r="K3" s="2"/>
      <c r="L3" s="2"/>
      <c r="M3" s="2"/>
      <c r="N3" s="2"/>
      <c r="O3" s="2"/>
      <c r="P3" s="2"/>
      <c r="Q3" s="2"/>
      <c r="R3" s="2"/>
      <c r="S3" s="2"/>
    </row>
    <row r="4" ht="24" customHeight="1">
      <c r="A4" s="28" t="str">
        <v>Dönem no</v>
      </c>
      <c r="B4" s="28"/>
      <c r="C4" s="28"/>
      <c r="D4" s="28"/>
      <c r="E4" s="28"/>
      <c r="F4" s="28"/>
      <c r="G4" s="28"/>
      <c r="H4" s="28" t="str">
        <v>Miktar</v>
      </c>
      <c r="I4" s="33" t="n">
        <v>1</v>
      </c>
      <c r="J4" s="28"/>
      <c r="K4" s="28" t="str">
        <v>Miktar</v>
      </c>
      <c r="L4" s="33" t="n">
        <v>2</v>
      </c>
      <c r="M4" s="28"/>
      <c r="N4" s="28" t="str">
        <v>Miktar</v>
      </c>
      <c r="O4" s="33" t="n">
        <v>3</v>
      </c>
      <c r="P4" s="28"/>
      <c r="Q4" s="28"/>
      <c r="R4" s="28"/>
      <c r="S4" s="28"/>
    </row>
    <row r="5" ht="28" customHeight="1">
      <c r="A5" s="2"/>
      <c r="B5" s="2"/>
      <c r="C5" s="2"/>
      <c r="D5" s="2"/>
      <c r="E5" s="2"/>
      <c r="F5" s="2"/>
      <c r="G5" s="36" t="str">
        <f>I4&amp;". Hakediş Dönemi"</f>
      </c>
      <c r="H5" s="36"/>
      <c r="I5" s="36"/>
      <c r="J5" s="41" t="str">
        <f>L4&amp;". Hakediş Dönemi"</f>
      </c>
      <c r="K5" s="41"/>
      <c r="L5" s="41"/>
      <c r="M5" s="36" t="str">
        <f>O4&amp;". Hakediş Dönemi"</f>
      </c>
      <c r="N5" s="36"/>
      <c r="O5" s="36"/>
      <c r="P5" s="2"/>
      <c r="Q5" s="2"/>
      <c r="R5" s="2"/>
      <c r="S5" s="2"/>
    </row>
    <row r="6" ht="24" customHeight="1">
      <c r="A6" s="2"/>
      <c r="B6" s="2"/>
      <c r="C6" s="2"/>
      <c r="D6" s="2"/>
      <c r="E6" s="2"/>
      <c r="F6" s="2"/>
      <c r="G6" s="2"/>
      <c r="H6" s="2"/>
      <c r="I6" s="37" t="n">
        <f>IF(COUNTIFS(tblHakedis[Tutar 1],"Eksik giriş")&gt;0,"Eksik giriş",SUM(tblHakedis[Tutar 1]))</f>
      </c>
      <c r="J6" s="2"/>
      <c r="K6" s="2"/>
      <c r="L6" s="37" t="n">
        <f>IF(COUNTIFS(tblHakedis[Tutar 2],"Eksik giriş")&gt;0,"Eksik giriş",SUM(tblHakedis[Tutar 2]))</f>
      </c>
      <c r="M6" s="2"/>
      <c r="N6" s="2"/>
      <c r="O6" s="37" t="n">
        <f>IF(COUNTIFS(tblHakedis[Tutar 3],"Eksik giriş")&gt;0,"Eksik giriş",SUM(tblHakedis[Tutar 3]))</f>
      </c>
      <c r="P6" s="2"/>
      <c r="Q6" s="2"/>
      <c r="R6" s="2"/>
      <c r="S6" s="2"/>
    </row>
    <row r="7" ht="40" customHeight="1">
      <c r="A7" s="13" t="str">
        <v>Blok</v>
      </c>
      <c r="B7" s="13" t="str">
        <v>Cephe</v>
      </c>
      <c r="C7" s="13" t="str">
        <v>İş Kalemi</v>
      </c>
      <c r="D7" s="13" t="str">
        <v>Toplam Metraj</v>
      </c>
      <c r="E7" s="13" t="str">
        <v>Kümülatif Metraj</v>
      </c>
      <c r="F7" s="13" t="str">
        <v>Birim</v>
      </c>
      <c r="G7" s="13" t="str">
        <v>Birim Fiyat 1</v>
      </c>
      <c r="H7" s="13" t="str">
        <v>Verilecek Miktar 1</v>
      </c>
      <c r="I7" s="13" t="str">
        <v>Tutar 1</v>
      </c>
      <c r="J7" s="13" t="str">
        <v>Birim Fiyat 2</v>
      </c>
      <c r="K7" s="13" t="str">
        <v>Verilecek Miktar 2</v>
      </c>
      <c r="L7" s="13" t="str">
        <v>Tutar 2</v>
      </c>
      <c r="M7" s="13" t="str">
        <v>Birim Fiyat 3</v>
      </c>
      <c r="N7" s="13" t="str">
        <v>Verilecek Miktar 3</v>
      </c>
      <c r="O7" s="13" t="str">
        <v>Tutar 3</v>
      </c>
      <c r="P7" s="31" t="str">
        <v>Dönem sonu</v>
      </c>
      <c r="Q7" s="13" t="str">
        <v>Toplam Verilen</v>
      </c>
      <c r="R7" s="13" t="str">
        <v>Verilebilir Bakiye</v>
      </c>
      <c r="S7" s="13" t="str">
        <v>Kontrol</v>
      </c>
    </row>
    <row r="8" ht="24" customHeight="1">
      <c r="A8" s="7"/>
      <c r="B8" s="7"/>
      <c r="C8" s="7"/>
      <c r="D8" s="40"/>
      <c r="E8" s="40"/>
      <c r="F8" s="7"/>
      <c r="G8" s="40"/>
      <c r="H8" s="40"/>
      <c r="I8" s="20" t="n">
        <f>IF(AND(G8="",H8=""),"",IF(COUNT(G8:H8)&lt;2,"Eksik giriş",ROUND(G8*H8,2)))</f>
      </c>
      <c r="J8" s="40"/>
      <c r="K8" s="40"/>
      <c r="L8" s="20" t="str">
        <f>IF(AND(J8="",K8=""),"",IF(COUNT(J8:K8)&lt;2,"Eksik giriş",ROUND(J8*K8,2)))</f>
      </c>
      <c r="M8" s="40"/>
      <c r="N8" s="40"/>
      <c r="O8" s="20" t="str">
        <f>IF(AND(M8="",N8=""),"",IF(COUNT(M8:N8)&lt;2,"Eksik giriş",ROUND(M8*N8,2)))</f>
      </c>
      <c r="P8" s="2"/>
      <c r="Q8" s="20" t="n">
        <f>IF(AND(COUNTA($A8:$F8)=0,COUNT($G8:$P8)=0),"",SUMIFS($G8:$P8,$G$4:$P$4,"Miktar"))</f>
      </c>
      <c r="R8" s="20" t="n">
        <f>IF($E8="","",$E8-Q8)</f>
      </c>
      <c r="S8" s="39" t="str">
        <f>IF(AND(COUNTA($A8:$F8)=0,COUNT($G8:$P8)=0),"",IF(OR($A8="",$B8="",$C8="",$F8=""),"Tanım eksik",IF(COUNT($D8:$E8)&lt;2,"Metraj eksik",IF(COUNTIFS($G8:$P8,"Eksik giriş")&gt;0,"Fiyat / miktar eksik",IF(MIN($D8:$P8)&lt;0,"Negatif giriş",IF($E8&gt;$D8,"Kümülatif &gt; toplam",IF(Q8&gt;$E8,"Verilen &gt; kümülatif","Uygun")))))))</f>
      </c>
    </row>
    <row r="9" ht="24" customHeight="1">
      <c r="A9" s="7"/>
      <c r="B9" s="7"/>
      <c r="C9" s="7"/>
      <c r="D9" s="40"/>
      <c r="E9" s="40"/>
      <c r="F9" s="7"/>
      <c r="G9" s="40"/>
      <c r="H9" s="40"/>
      <c r="I9" s="20" t="n">
        <f>IF(AND(G9="",H9=""),"",IF(COUNT(G9:H9)&lt;2,"Eksik giriş",ROUND(G9*H9,2)))</f>
      </c>
      <c r="J9" s="40"/>
      <c r="K9" s="40"/>
      <c r="L9" s="20" t="str">
        <f>IF(AND(J9="",K9=""),"",IF(COUNT(J9:K9)&lt;2,"Eksik giriş",ROUND(J9*K9,2)))</f>
      </c>
      <c r="M9" s="40"/>
      <c r="N9" s="40"/>
      <c r="O9" s="20" t="str">
        <f>IF(AND(M9="",N9=""),"",IF(COUNT(M9:N9)&lt;2,"Eksik giriş",ROUND(M9*N9,2)))</f>
      </c>
      <c r="P9" s="2"/>
      <c r="Q9" s="20" t="n">
        <f>IF(AND(COUNTA($A9:$F9)=0,COUNT($G9:$P9)=0),"",SUMIFS($G9:$P9,$G$4:$P$4,"Miktar"))</f>
      </c>
      <c r="R9" s="20" t="n">
        <f>IF($E9="","",$E9-Q9)</f>
      </c>
      <c r="S9" s="39" t="str">
        <f>IF(AND(COUNTA($A9:$F9)=0,COUNT($G9:$P9)=0),"",IF(OR($A9="",$B9="",$C9="",$F9=""),"Tanım eksik",IF(COUNT($D9:$E9)&lt;2,"Metraj eksik",IF(COUNTIFS($G9:$P9,"Eksik giriş")&gt;0,"Fiyat / miktar eksik",IF(MIN($D9:$P9)&lt;0,"Negatif giriş",IF($E9&gt;$D9,"Kümülatif &gt; toplam",IF(Q9&gt;$E9,"Verilen &gt; kümülatif","Uygun")))))))</f>
      </c>
    </row>
    <row r="10" ht="24" customHeight="1">
      <c r="A10" s="7"/>
      <c r="B10" s="7"/>
      <c r="C10" s="7"/>
      <c r="D10" s="40"/>
      <c r="E10" s="40"/>
      <c r="F10" s="7"/>
      <c r="G10" s="40"/>
      <c r="H10" s="40"/>
      <c r="I10" s="20" t="n">
        <f>IF(AND(G10="",H10=""),"",IF(COUNT(G10:H10)&lt;2,"Eksik giriş",ROUND(G10*H10,2)))</f>
      </c>
      <c r="J10" s="40"/>
      <c r="K10" s="40"/>
      <c r="L10" s="20" t="str">
        <f>IF(AND(J10="",K10=""),"",IF(COUNT(J10:K10)&lt;2,"Eksik giriş",ROUND(J10*K10,2)))</f>
      </c>
      <c r="M10" s="40"/>
      <c r="N10" s="40"/>
      <c r="O10" s="20" t="str">
        <f>IF(AND(M10="",N10=""),"",IF(COUNT(M10:N10)&lt;2,"Eksik giriş",ROUND(M10*N10,2)))</f>
      </c>
      <c r="P10" s="2"/>
      <c r="Q10" s="20" t="n">
        <f>IF(AND(COUNTA($A10:$F10)=0,COUNT($G10:$P10)=0),"",SUMIFS($G10:$P10,$G$4:$P$4,"Miktar"))</f>
      </c>
      <c r="R10" s="20" t="n">
        <f>IF($E10="","",$E10-Q10)</f>
      </c>
      <c r="S10" s="39" t="str">
        <f>IF(AND(COUNTA($A10:$F10)=0,COUNT($G10:$P10)=0),"",IF(OR($A10="",$B10="",$C10="",$F10=""),"Tanım eksik",IF(COUNT($D10:$E10)&lt;2,"Metraj eksik",IF(COUNTIFS($G10:$P10,"Eksik giriş")&gt;0,"Fiyat / miktar eksik",IF(MIN($D10:$P10)&lt;0,"Negatif giriş",IF($E10&gt;$D10,"Kümülatif &gt; toplam",IF(Q10&gt;$E10,"Verilen &gt; kümülatif","Uygun")))))))</f>
      </c>
    </row>
    <row r="11" ht="24" customHeight="1">
      <c r="A11" s="7"/>
      <c r="B11" s="7"/>
      <c r="C11" s="7"/>
      <c r="D11" s="40"/>
      <c r="E11" s="40"/>
      <c r="F11" s="7"/>
      <c r="G11" s="40"/>
      <c r="H11" s="40"/>
      <c r="I11" s="20" t="n">
        <f>IF(AND(G11="",H11=""),"",IF(COUNT(G11:H11)&lt;2,"Eksik giriş",ROUND(G11*H11,2)))</f>
      </c>
      <c r="J11" s="40"/>
      <c r="K11" s="40"/>
      <c r="L11" s="20" t="str">
        <f>IF(AND(J11="",K11=""),"",IF(COUNT(J11:K11)&lt;2,"Eksik giriş",ROUND(J11*K11,2)))</f>
      </c>
      <c r="M11" s="40"/>
      <c r="N11" s="40"/>
      <c r="O11" s="20" t="str">
        <f>IF(AND(M11="",N11=""),"",IF(COUNT(M11:N11)&lt;2,"Eksik giriş",ROUND(M11*N11,2)))</f>
      </c>
      <c r="P11" s="2"/>
      <c r="Q11" s="20" t="n">
        <f>IF(AND(COUNTA($A11:$F11)=0,COUNT($G11:$P11)=0),"",SUMIFS($G11:$P11,$G$4:$P$4,"Miktar"))</f>
      </c>
      <c r="R11" s="20" t="n">
        <f>IF($E11="","",$E11-Q11)</f>
      </c>
      <c r="S11" s="39" t="str">
        <f>IF(AND(COUNTA($A11:$F11)=0,COUNT($G11:$P11)=0),"",IF(OR($A11="",$B11="",$C11="",$F11=""),"Tanım eksik",IF(COUNT($D11:$E11)&lt;2,"Metraj eksik",IF(COUNTIFS($G11:$P11,"Eksik giriş")&gt;0,"Fiyat / miktar eksik",IF(MIN($D11:$P11)&lt;0,"Negatif giriş",IF($E11&gt;$D11,"Kümülatif &gt; toplam",IF(Q11&gt;$E11,"Verilen &gt; kümülatif","Uygun")))))))</f>
      </c>
    </row>
    <row r="12" ht="24" customHeight="1">
      <c r="A12" s="7"/>
      <c r="B12" s="7"/>
      <c r="C12" s="7"/>
      <c r="D12" s="40"/>
      <c r="E12" s="40"/>
      <c r="F12" s="7"/>
      <c r="G12" s="40"/>
      <c r="H12" s="40"/>
      <c r="I12" s="20" t="str">
        <f>IF(AND(G12="",H12=""),"",IF(COUNT(G12:H12)&lt;2,"Eksik giriş",ROUND(G12*H12,2)))</f>
      </c>
      <c r="J12" s="40"/>
      <c r="K12" s="40"/>
      <c r="L12" s="20" t="str">
        <f>IF(AND(J12="",K12=""),"",IF(COUNT(J12:K12)&lt;2,"Eksik giriş",ROUND(J12*K12,2)))</f>
      </c>
      <c r="M12" s="40"/>
      <c r="N12" s="40"/>
      <c r="O12" s="20" t="str">
        <f>IF(AND(M12="",N12=""),"",IF(COUNT(M12:N12)&lt;2,"Eksik giriş",ROUND(M12*N12,2)))</f>
      </c>
      <c r="P12" s="2"/>
      <c r="Q12" s="20" t="n">
        <f>IF(AND(COUNTA($A12:$F12)=0,COUNT($G12:$P12)=0),"",SUMIFS($G12:$P12,$G$4:$P$4,"Miktar"))</f>
      </c>
      <c r="R12" s="20" t="n">
        <f>IF($E12="","",$E12-Q12)</f>
      </c>
      <c r="S12" s="39" t="str">
        <f>IF(AND(COUNTA($A12:$F12)=0,COUNT($G12:$P12)=0),"",IF(OR($A12="",$B12="",$C12="",$F12=""),"Tanım eksik",IF(COUNT($D12:$E12)&lt;2,"Metraj eksik",IF(COUNTIFS($G12:$P12,"Eksik giriş")&gt;0,"Fiyat / miktar eksik",IF(MIN($D12:$P12)&lt;0,"Negatif giriş",IF($E12&gt;$D12,"Kümülatif &gt; toplam",IF(Q12&gt;$E12,"Verilen &gt; kümülatif","Uygun")))))))</f>
      </c>
    </row>
    <row r="13" ht="24" customHeight="1">
      <c r="A13" s="7"/>
      <c r="B13" s="7"/>
      <c r="C13" s="7"/>
      <c r="D13" s="40"/>
      <c r="E13" s="40"/>
      <c r="F13" s="7"/>
      <c r="G13" s="40"/>
      <c r="H13" s="40"/>
      <c r="I13" s="20" t="str">
        <f>IF(AND(G13="",H13=""),"",IF(COUNT(G13:H13)&lt;2,"Eksik giriş",ROUND(G13*H13,2)))</f>
      </c>
      <c r="J13" s="40"/>
      <c r="K13" s="40"/>
      <c r="L13" s="20" t="str">
        <f>IF(AND(J13="",K13=""),"",IF(COUNT(J13:K13)&lt;2,"Eksik giriş",ROUND(J13*K13,2)))</f>
      </c>
      <c r="M13" s="40"/>
      <c r="N13" s="40"/>
      <c r="O13" s="20" t="str">
        <f>IF(AND(M13="",N13=""),"",IF(COUNT(M13:N13)&lt;2,"Eksik giriş",ROUND(M13*N13,2)))</f>
      </c>
      <c r="P13" s="2"/>
      <c r="Q13" s="20" t="n">
        <f>IF(AND(COUNTA($A13:$F13)=0,COUNT($G13:$P13)=0),"",SUMIFS($G13:$P13,$G$4:$P$4,"Miktar"))</f>
      </c>
      <c r="R13" s="20" t="n">
        <f>IF($E13="","",$E13-Q13)</f>
      </c>
      <c r="S13" s="39" t="str">
        <f>IF(AND(COUNTA($A13:$F13)=0,COUNT($G13:$P13)=0),"",IF(OR($A13="",$B13="",$C13="",$F13=""),"Tanım eksik",IF(COUNT($D13:$E13)&lt;2,"Metraj eksik",IF(COUNTIFS($G13:$P13,"Eksik giriş")&gt;0,"Fiyat / miktar eksik",IF(MIN($D13:$P13)&lt;0,"Negatif giriş",IF($E13&gt;$D13,"Kümülatif &gt; toplam",IF(Q13&gt;$E13,"Verilen &gt; kümülatif","Uygun")))))))</f>
      </c>
    </row>
    <row r="14" ht="24" customHeight="1">
      <c r="A14" s="7"/>
      <c r="B14" s="7"/>
      <c r="C14" s="7"/>
      <c r="D14" s="40"/>
      <c r="E14" s="40"/>
      <c r="F14" s="7"/>
      <c r="G14" s="40"/>
      <c r="H14" s="40"/>
      <c r="I14" s="20" t="str">
        <f>IF(AND(G14="",H14=""),"",IF(COUNT(G14:H14)&lt;2,"Eksik giriş",ROUND(G14*H14,2)))</f>
      </c>
      <c r="J14" s="40"/>
      <c r="K14" s="40"/>
      <c r="L14" s="20" t="str">
        <f>IF(AND(J14="",K14=""),"",IF(COUNT(J14:K14)&lt;2,"Eksik giriş",ROUND(J14*K14,2)))</f>
      </c>
      <c r="M14" s="40"/>
      <c r="N14" s="40"/>
      <c r="O14" s="20" t="str">
        <f>IF(AND(M14="",N14=""),"",IF(COUNT(M14:N14)&lt;2,"Eksik giriş",ROUND(M14*N14,2)))</f>
      </c>
      <c r="P14" s="2"/>
      <c r="Q14" s="20" t="n">
        <f>IF(AND(COUNTA($A14:$F14)=0,COUNT($G14:$P14)=0),"",SUMIFS($G14:$P14,$G$4:$P$4,"Miktar"))</f>
      </c>
      <c r="R14" s="20" t="n">
        <f>IF($E14="","",$E14-Q14)</f>
      </c>
      <c r="S14" s="39" t="str">
        <f>IF(AND(COUNTA($A14:$F14)=0,COUNT($G14:$P14)=0),"",IF(OR($A14="",$B14="",$C14="",$F14=""),"Tanım eksik",IF(COUNT($D14:$E14)&lt;2,"Metraj eksik",IF(COUNTIFS($G14:$P14,"Eksik giriş")&gt;0,"Fiyat / miktar eksik",IF(MIN($D14:$P14)&lt;0,"Negatif giriş",IF($E14&gt;$D14,"Kümülatif &gt; toplam",IF(Q14&gt;$E14,"Verilen &gt; kümülatif","Uygun")))))))</f>
      </c>
    </row>
    <row r="15" ht="24" customHeight="1">
      <c r="A15" s="7"/>
      <c r="B15" s="7"/>
      <c r="C15" s="7"/>
      <c r="D15" s="40"/>
      <c r="E15" s="40"/>
      <c r="F15" s="7"/>
      <c r="G15" s="40"/>
      <c r="H15" s="40"/>
      <c r="I15" s="20" t="str">
        <f>IF(AND(G15="",H15=""),"",IF(COUNT(G15:H15)&lt;2,"Eksik giriş",ROUND(G15*H15,2)))</f>
      </c>
      <c r="J15" s="40"/>
      <c r="K15" s="40"/>
      <c r="L15" s="20" t="str">
        <f>IF(AND(J15="",K15=""),"",IF(COUNT(J15:K15)&lt;2,"Eksik giriş",ROUND(J15*K15,2)))</f>
      </c>
      <c r="M15" s="40"/>
      <c r="N15" s="40"/>
      <c r="O15" s="20" t="str">
        <f>IF(AND(M15="",N15=""),"",IF(COUNT(M15:N15)&lt;2,"Eksik giriş",ROUND(M15*N15,2)))</f>
      </c>
      <c r="P15" s="2"/>
      <c r="Q15" s="20" t="n">
        <f>IF(AND(COUNTA($A15:$F15)=0,COUNT($G15:$P15)=0),"",SUMIFS($G15:$P15,$G$4:$P$4,"Miktar"))</f>
      </c>
      <c r="R15" s="20" t="n">
        <f>IF($E15="","",$E15-Q15)</f>
      </c>
      <c r="S15" s="39" t="str">
        <f>IF(AND(COUNTA($A15:$F15)=0,COUNT($G15:$P15)=0),"",IF(OR($A15="",$B15="",$C15="",$F15=""),"Tanım eksik",IF(COUNT($D15:$E15)&lt;2,"Metraj eksik",IF(COUNTIFS($G15:$P15,"Eksik giriş")&gt;0,"Fiyat / miktar eksik",IF(MIN($D15:$P15)&lt;0,"Negatif giriş",IF($E15&gt;$D15,"Kümülatif &gt; toplam",IF(Q15&gt;$E15,"Verilen &gt; kümülatif","Uygun")))))))</f>
      </c>
    </row>
    <row r="16" ht="24" customHeight="1">
      <c r="A16" s="7"/>
      <c r="B16" s="7"/>
      <c r="C16" s="7"/>
      <c r="D16" s="40"/>
      <c r="E16" s="40"/>
      <c r="F16" s="7"/>
      <c r="G16" s="40"/>
      <c r="H16" s="40"/>
      <c r="I16" s="20" t="str">
        <f>IF(AND(G16="",H16=""),"",IF(COUNT(G16:H16)&lt;2,"Eksik giriş",ROUND(G16*H16,2)))</f>
      </c>
      <c r="J16" s="40"/>
      <c r="K16" s="40"/>
      <c r="L16" s="20" t="str">
        <f>IF(AND(J16="",K16=""),"",IF(COUNT(J16:K16)&lt;2,"Eksik giriş",ROUND(J16*K16,2)))</f>
      </c>
      <c r="M16" s="40"/>
      <c r="N16" s="40"/>
      <c r="O16" s="20" t="str">
        <f>IF(AND(M16="",N16=""),"",IF(COUNT(M16:N16)&lt;2,"Eksik giriş",ROUND(M16*N16,2)))</f>
      </c>
      <c r="P16" s="2"/>
      <c r="Q16" s="20" t="str">
        <f>IF(AND(COUNTA($A16:$F16)=0,COUNT($G16:$P16)=0),"",SUMIFS($G16:$P16,$G$4:$P$4,"Miktar"))</f>
      </c>
      <c r="R16" s="20" t="str">
        <f>IF($E16="","",$E16-Q16)</f>
      </c>
      <c r="S16" s="39" t="str">
        <f>IF(AND(COUNTA($A16:$F16)=0,COUNT($G16:$P16)=0),"",IF(OR($A16="",$B16="",$C16="",$F16=""),"Tanım eksik",IF(COUNT($D16:$E16)&lt;2,"Metraj eksik",IF(COUNTIFS($G16:$P16,"Eksik giriş")&gt;0,"Fiyat / miktar eksik",IF(MIN($D16:$P16)&lt;0,"Negatif giriş",IF($E16&gt;$D16,"Kümülatif &gt; toplam",IF(Q16&gt;$E16,"Verilen &gt; kümülatif","Uygun")))))))</f>
      </c>
    </row>
    <row r="17" ht="24" customHeight="1">
      <c r="A17" s="7"/>
      <c r="B17" s="7"/>
      <c r="C17" s="7"/>
      <c r="D17" s="40"/>
      <c r="E17" s="40"/>
      <c r="F17" s="7"/>
      <c r="G17" s="40"/>
      <c r="H17" s="40"/>
      <c r="I17" s="20" t="str">
        <f>IF(AND(G17="",H17=""),"",IF(COUNT(G17:H17)&lt;2,"Eksik giriş",ROUND(G17*H17,2)))</f>
      </c>
      <c r="J17" s="40"/>
      <c r="K17" s="40"/>
      <c r="L17" s="20" t="str">
        <f>IF(AND(J17="",K17=""),"",IF(COUNT(J17:K17)&lt;2,"Eksik giriş",ROUND(J17*K17,2)))</f>
      </c>
      <c r="M17" s="40"/>
      <c r="N17" s="40"/>
      <c r="O17" s="20" t="str">
        <f>IF(AND(M17="",N17=""),"",IF(COUNT(M17:N17)&lt;2,"Eksik giriş",ROUND(M17*N17,2)))</f>
      </c>
      <c r="P17" s="2"/>
      <c r="Q17" s="20" t="str">
        <f>IF(AND(COUNTA($A17:$F17)=0,COUNT($G17:$P17)=0),"",SUMIFS($G17:$P17,$G$4:$P$4,"Miktar"))</f>
      </c>
      <c r="R17" s="20" t="str">
        <f>IF($E17="","",$E17-Q17)</f>
      </c>
      <c r="S17" s="39" t="str">
        <f>IF(AND(COUNTA($A17:$F17)=0,COUNT($G17:$P17)=0),"",IF(OR($A17="",$B17="",$C17="",$F17=""),"Tanım eksik",IF(COUNT($D17:$E17)&lt;2,"Metraj eksik",IF(COUNTIFS($G17:$P17,"Eksik giriş")&gt;0,"Fiyat / miktar eksik",IF(MIN($D17:$P17)&lt;0,"Negatif giriş",IF($E17&gt;$D17,"Kümülatif &gt; toplam",IF(Q17&gt;$E17,"Verilen &gt; kümülatif","Uygun")))))))</f>
      </c>
    </row>
    <row r="18" ht="24" customHeight="1">
      <c r="A18" s="7"/>
      <c r="B18" s="7"/>
      <c r="C18" s="7"/>
      <c r="D18" s="40"/>
      <c r="E18" s="40"/>
      <c r="F18" s="7"/>
      <c r="G18" s="40"/>
      <c r="H18" s="40"/>
      <c r="I18" s="20" t="str">
        <f>IF(AND(G18="",H18=""),"",IF(COUNT(G18:H18)&lt;2,"Eksik giriş",ROUND(G18*H18,2)))</f>
      </c>
      <c r="J18" s="40"/>
      <c r="K18" s="40"/>
      <c r="L18" s="20" t="str">
        <f>IF(AND(J18="",K18=""),"",IF(COUNT(J18:K18)&lt;2,"Eksik giriş",ROUND(J18*K18,2)))</f>
      </c>
      <c r="M18" s="40"/>
      <c r="N18" s="40"/>
      <c r="O18" s="20" t="str">
        <f>IF(AND(M18="",N18=""),"",IF(COUNT(M18:N18)&lt;2,"Eksik giriş",ROUND(M18*N18,2)))</f>
      </c>
      <c r="P18" s="2"/>
      <c r="Q18" s="20" t="str">
        <f>IF(AND(COUNTA($A18:$F18)=0,COUNT($G18:$P18)=0),"",SUMIFS($G18:$P18,$G$4:$P$4,"Miktar"))</f>
      </c>
      <c r="R18" s="20" t="str">
        <f>IF($E18="","",$E18-Q18)</f>
      </c>
      <c r="S18" s="39" t="str">
        <f>IF(AND(COUNTA($A18:$F18)=0,COUNT($G18:$P18)=0),"",IF(OR($A18="",$B18="",$C18="",$F18=""),"Tanım eksik",IF(COUNT($D18:$E18)&lt;2,"Metraj eksik",IF(COUNTIFS($G18:$P18,"Eksik giriş")&gt;0,"Fiyat / miktar eksik",IF(MIN($D18:$P18)&lt;0,"Negatif giriş",IF($E18&gt;$D18,"Kümülatif &gt; toplam",IF(Q18&gt;$E18,"Verilen &gt; kümülatif","Uygun")))))))</f>
      </c>
    </row>
    <row r="19" ht="24" customHeight="1">
      <c r="A19" s="7"/>
      <c r="B19" s="7"/>
      <c r="C19" s="7"/>
      <c r="D19" s="40"/>
      <c r="E19" s="40"/>
      <c r="F19" s="7"/>
      <c r="G19" s="40"/>
      <c r="H19" s="40"/>
      <c r="I19" s="20" t="str">
        <f>IF(AND(G19="",H19=""),"",IF(COUNT(G19:H19)&lt;2,"Eksik giriş",ROUND(G19*H19,2)))</f>
      </c>
      <c r="J19" s="40"/>
      <c r="K19" s="40"/>
      <c r="L19" s="20" t="str">
        <f>IF(AND(J19="",K19=""),"",IF(COUNT(J19:K19)&lt;2,"Eksik giriş",ROUND(J19*K19,2)))</f>
      </c>
      <c r="M19" s="40"/>
      <c r="N19" s="40"/>
      <c r="O19" s="20" t="str">
        <f>IF(AND(M19="",N19=""),"",IF(COUNT(M19:N19)&lt;2,"Eksik giriş",ROUND(M19*N19,2)))</f>
      </c>
      <c r="P19" s="2"/>
      <c r="Q19" s="20" t="str">
        <f>IF(AND(COUNTA($A19:$F19)=0,COUNT($G19:$P19)=0),"",SUMIFS($G19:$P19,$G$4:$P$4,"Miktar"))</f>
      </c>
      <c r="R19" s="20" t="str">
        <f>IF($E19="","",$E19-Q19)</f>
      </c>
      <c r="S19" s="39" t="str">
        <f>IF(AND(COUNTA($A19:$F19)=0,COUNT($G19:$P19)=0),"",IF(OR($A19="",$B19="",$C19="",$F19=""),"Tanım eksik",IF(COUNT($D19:$E19)&lt;2,"Metraj eksik",IF(COUNTIFS($G19:$P19,"Eksik giriş")&gt;0,"Fiyat / miktar eksik",IF(MIN($D19:$P19)&lt;0,"Negatif giriş",IF($E19&gt;$D19,"Kümülatif &gt; toplam",IF(Q19&gt;$E19,"Verilen &gt; kümülatif","Uygun")))))))</f>
      </c>
    </row>
    <row r="20" ht="24" customHeight="1">
      <c r="A20" s="7"/>
      <c r="B20" s="7"/>
      <c r="C20" s="7"/>
      <c r="D20" s="40"/>
      <c r="E20" s="40"/>
      <c r="F20" s="7"/>
      <c r="G20" s="40"/>
      <c r="H20" s="40"/>
      <c r="I20" s="20" t="str">
        <f>IF(AND(G20="",H20=""),"",IF(COUNT(G20:H20)&lt;2,"Eksik giriş",ROUND(G20*H20,2)))</f>
      </c>
      <c r="J20" s="40"/>
      <c r="K20" s="40"/>
      <c r="L20" s="20" t="str">
        <f>IF(AND(J20="",K20=""),"",IF(COUNT(J20:K20)&lt;2,"Eksik giriş",ROUND(J20*K20,2)))</f>
      </c>
      <c r="M20" s="40"/>
      <c r="N20" s="40"/>
      <c r="O20" s="20" t="str">
        <f>IF(AND(M20="",N20=""),"",IF(COUNT(M20:N20)&lt;2,"Eksik giriş",ROUND(M20*N20,2)))</f>
      </c>
      <c r="P20" s="2"/>
      <c r="Q20" s="20" t="str">
        <f>IF(AND(COUNTA($A20:$F20)=0,COUNT($G20:$P20)=0),"",SUMIFS($G20:$P20,$G$4:$P$4,"Miktar"))</f>
      </c>
      <c r="R20" s="20" t="str">
        <f>IF($E20="","",$E20-Q20)</f>
      </c>
      <c r="S20" s="39" t="str">
        <f>IF(AND(COUNTA($A20:$F20)=0,COUNT($G20:$P20)=0),"",IF(OR($A20="",$B20="",$C20="",$F20=""),"Tanım eksik",IF(COUNT($D20:$E20)&lt;2,"Metraj eksik",IF(COUNTIFS($G20:$P20,"Eksik giriş")&gt;0,"Fiyat / miktar eksik",IF(MIN($D20:$P20)&lt;0,"Negatif giriş",IF($E20&gt;$D20,"Kümülatif &gt; toplam",IF(Q20&gt;$E20,"Verilen &gt; kümülatif","Uygun")))))))</f>
      </c>
    </row>
    <row r="21" ht="24" customHeight="1">
      <c r="A21" s="7"/>
      <c r="B21" s="7"/>
      <c r="C21" s="7"/>
      <c r="D21" s="40"/>
      <c r="E21" s="40"/>
      <c r="F21" s="7"/>
      <c r="G21" s="40"/>
      <c r="H21" s="40"/>
      <c r="I21" s="20" t="str">
        <f>IF(AND(G21="",H21=""),"",IF(COUNT(G21:H21)&lt;2,"Eksik giriş",ROUND(G21*H21,2)))</f>
      </c>
      <c r="J21" s="40"/>
      <c r="K21" s="40"/>
      <c r="L21" s="20" t="str">
        <f>IF(AND(J21="",K21=""),"",IF(COUNT(J21:K21)&lt;2,"Eksik giriş",ROUND(J21*K21,2)))</f>
      </c>
      <c r="M21" s="40"/>
      <c r="N21" s="40"/>
      <c r="O21" s="20" t="str">
        <f>IF(AND(M21="",N21=""),"",IF(COUNT(M21:N21)&lt;2,"Eksik giriş",ROUND(M21*N21,2)))</f>
      </c>
      <c r="P21" s="2"/>
      <c r="Q21" s="20" t="str">
        <f>IF(AND(COUNTA($A21:$F21)=0,COUNT($G21:$P21)=0),"",SUMIFS($G21:$P21,$G$4:$P$4,"Miktar"))</f>
      </c>
      <c r="R21" s="20" t="str">
        <f>IF($E21="","",$E21-Q21)</f>
      </c>
      <c r="S21" s="39" t="str">
        <f>IF(AND(COUNTA($A21:$F21)=0,COUNT($G21:$P21)=0),"",IF(OR($A21="",$B21="",$C21="",$F21=""),"Tanım eksik",IF(COUNT($D21:$E21)&lt;2,"Metraj eksik",IF(COUNTIFS($G21:$P21,"Eksik giriş")&gt;0,"Fiyat / miktar eksik",IF(MIN($D21:$P21)&lt;0,"Negatif giriş",IF($E21&gt;$D21,"Kümülatif &gt; toplam",IF(Q21&gt;$E21,"Verilen &gt; kümülatif","Uygun")))))))</f>
      </c>
    </row>
    <row r="22" ht="24" customHeight="1">
      <c r="A22" s="7"/>
      <c r="B22" s="7"/>
      <c r="C22" s="7"/>
      <c r="D22" s="40"/>
      <c r="E22" s="40"/>
      <c r="F22" s="7"/>
      <c r="G22" s="40"/>
      <c r="H22" s="40"/>
      <c r="I22" s="20" t="str">
        <f>IF(AND(G22="",H22=""),"",IF(COUNT(G22:H22)&lt;2,"Eksik giriş",ROUND(G22*H22,2)))</f>
      </c>
      <c r="J22" s="40"/>
      <c r="K22" s="40"/>
      <c r="L22" s="20" t="str">
        <f>IF(AND(J22="",K22=""),"",IF(COUNT(J22:K22)&lt;2,"Eksik giriş",ROUND(J22*K22,2)))</f>
      </c>
      <c r="M22" s="40"/>
      <c r="N22" s="40"/>
      <c r="O22" s="20" t="str">
        <f>IF(AND(M22="",N22=""),"",IF(COUNT(M22:N22)&lt;2,"Eksik giriş",ROUND(M22*N22,2)))</f>
      </c>
      <c r="P22" s="2"/>
      <c r="Q22" s="20" t="str">
        <f>IF(AND(COUNTA($A22:$F22)=0,COUNT($G22:$P22)=0),"",SUMIFS($G22:$P22,$G$4:$P$4,"Miktar"))</f>
      </c>
      <c r="R22" s="20" t="str">
        <f>IF($E22="","",$E22-Q22)</f>
      </c>
      <c r="S22" s="39" t="str">
        <f>IF(AND(COUNTA($A22:$F22)=0,COUNT($G22:$P22)=0),"",IF(OR($A22="",$B22="",$C22="",$F22=""),"Tanım eksik",IF(COUNT($D22:$E22)&lt;2,"Metraj eksik",IF(COUNTIFS($G22:$P22,"Eksik giriş")&gt;0,"Fiyat / miktar eksik",IF(MIN($D22:$P22)&lt;0,"Negatif giriş",IF($E22&gt;$D22,"Kümülatif &gt; toplam",IF(Q22&gt;$E22,"Verilen &gt; kümülatif","Uygun")))))))</f>
      </c>
    </row>
    <row r="23" ht="24" customHeight="1">
      <c r="A23" s="7"/>
      <c r="B23" s="7"/>
      <c r="C23" s="7"/>
      <c r="D23" s="40"/>
      <c r="E23" s="40"/>
      <c r="F23" s="7"/>
      <c r="G23" s="40"/>
      <c r="H23" s="40"/>
      <c r="I23" s="20" t="str">
        <f>IF(AND(G23="",H23=""),"",IF(COUNT(G23:H23)&lt;2,"Eksik giriş",ROUND(G23*H23,2)))</f>
      </c>
      <c r="J23" s="40"/>
      <c r="K23" s="40"/>
      <c r="L23" s="20" t="str">
        <f>IF(AND(J23="",K23=""),"",IF(COUNT(J23:K23)&lt;2,"Eksik giriş",ROUND(J23*K23,2)))</f>
      </c>
      <c r="M23" s="40"/>
      <c r="N23" s="40"/>
      <c r="O23" s="20" t="str">
        <f>IF(AND(M23="",N23=""),"",IF(COUNT(M23:N23)&lt;2,"Eksik giriş",ROUND(M23*N23,2)))</f>
      </c>
      <c r="P23" s="2"/>
      <c r="Q23" s="20" t="str">
        <f>IF(AND(COUNTA($A23:$F23)=0,COUNT($G23:$P23)=0),"",SUMIFS($G23:$P23,$G$4:$P$4,"Miktar"))</f>
      </c>
      <c r="R23" s="20" t="str">
        <f>IF($E23="","",$E23-Q23)</f>
      </c>
      <c r="S23" s="39" t="str">
        <f>IF(AND(COUNTA($A23:$F23)=0,COUNT($G23:$P23)=0),"",IF(OR($A23="",$B23="",$C23="",$F23=""),"Tanım eksik",IF(COUNT($D23:$E23)&lt;2,"Metraj eksik",IF(COUNTIFS($G23:$P23,"Eksik giriş")&gt;0,"Fiyat / miktar eksik",IF(MIN($D23:$P23)&lt;0,"Negatif giriş",IF($E23&gt;$D23,"Kümülatif &gt; toplam",IF(Q23&gt;$E23,"Verilen &gt; kümülatif","Uygun")))))))</f>
      </c>
    </row>
    <row r="24" ht="24" customHeight="1">
      <c r="A24" s="7"/>
      <c r="B24" s="7"/>
      <c r="C24" s="7"/>
      <c r="D24" s="40"/>
      <c r="E24" s="40"/>
      <c r="F24" s="7"/>
      <c r="G24" s="40"/>
      <c r="H24" s="40"/>
      <c r="I24" s="20" t="str">
        <f>IF(AND(G24="",H24=""),"",IF(COUNT(G24:H24)&lt;2,"Eksik giriş",ROUND(G24*H24,2)))</f>
      </c>
      <c r="J24" s="40"/>
      <c r="K24" s="40"/>
      <c r="L24" s="20" t="str">
        <f>IF(AND(J24="",K24=""),"",IF(COUNT(J24:K24)&lt;2,"Eksik giriş",ROUND(J24*K24,2)))</f>
      </c>
      <c r="M24" s="40"/>
      <c r="N24" s="40"/>
      <c r="O24" s="20" t="str">
        <f>IF(AND(M24="",N24=""),"",IF(COUNT(M24:N24)&lt;2,"Eksik giriş",ROUND(M24*N24,2)))</f>
      </c>
      <c r="P24" s="2"/>
      <c r="Q24" s="20" t="str">
        <f>IF(AND(COUNTA($A24:$F24)=0,COUNT($G24:$P24)=0),"",SUMIFS($G24:$P24,$G$4:$P$4,"Miktar"))</f>
      </c>
      <c r="R24" s="20" t="str">
        <f>IF($E24="","",$E24-Q24)</f>
      </c>
      <c r="S24" s="39" t="str">
        <f>IF(AND(COUNTA($A24:$F24)=0,COUNT($G24:$P24)=0),"",IF(OR($A24="",$B24="",$C24="",$F24=""),"Tanım eksik",IF(COUNT($D24:$E24)&lt;2,"Metraj eksik",IF(COUNTIFS($G24:$P24,"Eksik giriş")&gt;0,"Fiyat / miktar eksik",IF(MIN($D24:$P24)&lt;0,"Negatif giriş",IF($E24&gt;$D24,"Kümülatif &gt; toplam",IF(Q24&gt;$E24,"Verilen &gt; kümülatif","Uygun")))))))</f>
      </c>
    </row>
    <row r="25" ht="24" customHeight="1">
      <c r="A25" s="7"/>
      <c r="B25" s="7"/>
      <c r="C25" s="7"/>
      <c r="D25" s="40"/>
      <c r="E25" s="40"/>
      <c r="F25" s="7"/>
      <c r="G25" s="40"/>
      <c r="H25" s="40"/>
      <c r="I25" s="20" t="str">
        <f>IF(AND(G25="",H25=""),"",IF(COUNT(G25:H25)&lt;2,"Eksik giriş",ROUND(G25*H25,2)))</f>
      </c>
      <c r="J25" s="40"/>
      <c r="K25" s="40"/>
      <c r="L25" s="20" t="str">
        <f>IF(AND(J25="",K25=""),"",IF(COUNT(J25:K25)&lt;2,"Eksik giriş",ROUND(J25*K25,2)))</f>
      </c>
      <c r="M25" s="40"/>
      <c r="N25" s="40"/>
      <c r="O25" s="20" t="str">
        <f>IF(AND(M25="",N25=""),"",IF(COUNT(M25:N25)&lt;2,"Eksik giriş",ROUND(M25*N25,2)))</f>
      </c>
      <c r="P25" s="2"/>
      <c r="Q25" s="20" t="str">
        <f>IF(AND(COUNTA($A25:$F25)=0,COUNT($G25:$P25)=0),"",SUMIFS($G25:$P25,$G$4:$P$4,"Miktar"))</f>
      </c>
      <c r="R25" s="20" t="str">
        <f>IF($E25="","",$E25-Q25)</f>
      </c>
      <c r="S25" s="39" t="str">
        <f>IF(AND(COUNTA($A25:$F25)=0,COUNT($G25:$P25)=0),"",IF(OR($A25="",$B25="",$C25="",$F25=""),"Tanım eksik",IF(COUNT($D25:$E25)&lt;2,"Metraj eksik",IF(COUNTIFS($G25:$P25,"Eksik giriş")&gt;0,"Fiyat / miktar eksik",IF(MIN($D25:$P25)&lt;0,"Negatif giriş",IF($E25&gt;$D25,"Kümülatif &gt; toplam",IF(Q25&gt;$E25,"Verilen &gt; kümülatif","Uygun")))))))</f>
      </c>
    </row>
    <row r="26" ht="24" customHeight="1">
      <c r="A26" s="7"/>
      <c r="B26" s="7"/>
      <c r="C26" s="7"/>
      <c r="D26" s="40"/>
      <c r="E26" s="40"/>
      <c r="F26" s="7"/>
      <c r="G26" s="40"/>
      <c r="H26" s="40"/>
      <c r="I26" s="20" t="str">
        <f>IF(AND(G26="",H26=""),"",IF(COUNT(G26:H26)&lt;2,"Eksik giriş",ROUND(G26*H26,2)))</f>
      </c>
      <c r="J26" s="40"/>
      <c r="K26" s="40"/>
      <c r="L26" s="20" t="str">
        <f>IF(AND(J26="",K26=""),"",IF(COUNT(J26:K26)&lt;2,"Eksik giriş",ROUND(J26*K26,2)))</f>
      </c>
      <c r="M26" s="40"/>
      <c r="N26" s="40"/>
      <c r="O26" s="20" t="str">
        <f>IF(AND(M26="",N26=""),"",IF(COUNT(M26:N26)&lt;2,"Eksik giriş",ROUND(M26*N26,2)))</f>
      </c>
      <c r="P26" s="2"/>
      <c r="Q26" s="20" t="str">
        <f>IF(AND(COUNTA($A26:$F26)=0,COUNT($G26:$P26)=0),"",SUMIFS($G26:$P26,$G$4:$P$4,"Miktar"))</f>
      </c>
      <c r="R26" s="20" t="str">
        <f>IF($E26="","",$E26-Q26)</f>
      </c>
      <c r="S26" s="39" t="str">
        <f>IF(AND(COUNTA($A26:$F26)=0,COUNT($G26:$P26)=0),"",IF(OR($A26="",$B26="",$C26="",$F26=""),"Tanım eksik",IF(COUNT($D26:$E26)&lt;2,"Metraj eksik",IF(COUNTIFS($G26:$P26,"Eksik giriş")&gt;0,"Fiyat / miktar eksik",IF(MIN($D26:$P26)&lt;0,"Negatif giriş",IF($E26&gt;$D26,"Kümülatif &gt; toplam",IF(Q26&gt;$E26,"Verilen &gt; kümülatif","Uygun")))))))</f>
      </c>
    </row>
    <row r="27" ht="24" customHeight="1">
      <c r="A27" s="7"/>
      <c r="B27" s="7"/>
      <c r="C27" s="7"/>
      <c r="D27" s="40"/>
      <c r="E27" s="40"/>
      <c r="F27" s="7"/>
      <c r="G27" s="40"/>
      <c r="H27" s="40"/>
      <c r="I27" s="20" t="str">
        <f>IF(AND(G27="",H27=""),"",IF(COUNT(G27:H27)&lt;2,"Eksik giriş",ROUND(G27*H27,2)))</f>
      </c>
      <c r="J27" s="40"/>
      <c r="K27" s="40"/>
      <c r="L27" s="20" t="str">
        <f>IF(AND(J27="",K27=""),"",IF(COUNT(J27:K27)&lt;2,"Eksik giriş",ROUND(J27*K27,2)))</f>
      </c>
      <c r="M27" s="40"/>
      <c r="N27" s="40"/>
      <c r="O27" s="20" t="str">
        <f>IF(AND(M27="",N27=""),"",IF(COUNT(M27:N27)&lt;2,"Eksik giriş",ROUND(M27*N27,2)))</f>
      </c>
      <c r="P27" s="2"/>
      <c r="Q27" s="20" t="str">
        <f>IF(AND(COUNTA($A27:$F27)=0,COUNT($G27:$P27)=0),"",SUMIFS($G27:$P27,$G$4:$P$4,"Miktar"))</f>
      </c>
      <c r="R27" s="20" t="str">
        <f>IF($E27="","",$E27-Q27)</f>
      </c>
      <c r="S27" s="39" t="str">
        <f>IF(AND(COUNTA($A27:$F27)=0,COUNT($G27:$P27)=0),"",IF(OR($A27="",$B27="",$C27="",$F27=""),"Tanım eksik",IF(COUNT($D27:$E27)&lt;2,"Metraj eksik",IF(COUNTIFS($G27:$P27,"Eksik giriş")&gt;0,"Fiyat / miktar eksik",IF(MIN($D27:$P27)&lt;0,"Negatif giriş",IF($E27&gt;$D27,"Kümülatif &gt; toplam",IF(Q27&gt;$E27,"Verilen &gt; kümülatif","Uygun")))))))</f>
      </c>
    </row>
    <row r="28" ht="24" customHeight="1">
      <c r="A28" s="7"/>
      <c r="B28" s="7"/>
      <c r="C28" s="7"/>
      <c r="D28" s="40"/>
      <c r="E28" s="40"/>
      <c r="F28" s="7"/>
      <c r="G28" s="40"/>
      <c r="H28" s="40"/>
      <c r="I28" s="20" t="str">
        <f>IF(AND(G28="",H28=""),"",IF(COUNT(G28:H28)&lt;2,"Eksik giriş",ROUND(G28*H28,2)))</f>
      </c>
      <c r="J28" s="40"/>
      <c r="K28" s="40"/>
      <c r="L28" s="20" t="str">
        <f>IF(AND(J28="",K28=""),"",IF(COUNT(J28:K28)&lt;2,"Eksik giriş",ROUND(J28*K28,2)))</f>
      </c>
      <c r="M28" s="40"/>
      <c r="N28" s="40"/>
      <c r="O28" s="20" t="str">
        <f>IF(AND(M28="",N28=""),"",IF(COUNT(M28:N28)&lt;2,"Eksik giriş",ROUND(M28*N28,2)))</f>
      </c>
      <c r="P28" s="2"/>
      <c r="Q28" s="20" t="str">
        <f>IF(AND(COUNTA($A28:$F28)=0,COUNT($G28:$P28)=0),"",SUMIFS($G28:$P28,$G$4:$P$4,"Miktar"))</f>
      </c>
      <c r="R28" s="20" t="str">
        <f>IF($E28="","",$E28-Q28)</f>
      </c>
      <c r="S28" s="39" t="str">
        <f>IF(AND(COUNTA($A28:$F28)=0,COUNT($G28:$P28)=0),"",IF(OR($A28="",$B28="",$C28="",$F28=""),"Tanım eksik",IF(COUNT($D28:$E28)&lt;2,"Metraj eksik",IF(COUNTIFS($G28:$P28,"Eksik giriş")&gt;0,"Fiyat / miktar eksik",IF(MIN($D28:$P28)&lt;0,"Negatif giriş",IF($E28&gt;$D28,"Kümülatif &gt; toplam",IF(Q28&gt;$E28,"Verilen &gt; kümülatif","Uygun")))))))</f>
      </c>
    </row>
    <row r="29" ht="24" customHeight="1">
      <c r="A29" s="7"/>
      <c r="B29" s="7"/>
      <c r="C29" s="7"/>
      <c r="D29" s="40"/>
      <c r="E29" s="40"/>
      <c r="F29" s="7"/>
      <c r="G29" s="40"/>
      <c r="H29" s="40"/>
      <c r="I29" s="20" t="str">
        <f>IF(AND(G29="",H29=""),"",IF(COUNT(G29:H29)&lt;2,"Eksik giriş",ROUND(G29*H29,2)))</f>
      </c>
      <c r="J29" s="40"/>
      <c r="K29" s="40"/>
      <c r="L29" s="20" t="str">
        <f>IF(AND(J29="",K29=""),"",IF(COUNT(J29:K29)&lt;2,"Eksik giriş",ROUND(J29*K29,2)))</f>
      </c>
      <c r="M29" s="40"/>
      <c r="N29" s="40"/>
      <c r="O29" s="20" t="str">
        <f>IF(AND(M29="",N29=""),"",IF(COUNT(M29:N29)&lt;2,"Eksik giriş",ROUND(M29*N29,2)))</f>
      </c>
      <c r="P29" s="2"/>
      <c r="Q29" s="20" t="str">
        <f>IF(AND(COUNTA($A29:$F29)=0,COUNT($G29:$P29)=0),"",SUMIFS($G29:$P29,$G$4:$P$4,"Miktar"))</f>
      </c>
      <c r="R29" s="20" t="str">
        <f>IF($E29="","",$E29-Q29)</f>
      </c>
      <c r="S29" s="39" t="str">
        <f>IF(AND(COUNTA($A29:$F29)=0,COUNT($G29:$P29)=0),"",IF(OR($A29="",$B29="",$C29="",$F29=""),"Tanım eksik",IF(COUNT($D29:$E29)&lt;2,"Metraj eksik",IF(COUNTIFS($G29:$P29,"Eksik giriş")&gt;0,"Fiyat / miktar eksik",IF(MIN($D29:$P29)&lt;0,"Negatif giriş",IF($E29&gt;$D29,"Kümülatif &gt; toplam",IF(Q29&gt;$E29,"Verilen &gt; kümülatif","Uygun")))))))</f>
      </c>
    </row>
    <row r="30" ht="24" customHeight="1">
      <c r="A30" s="7"/>
      <c r="B30" s="7"/>
      <c r="C30" s="7"/>
      <c r="D30" s="40"/>
      <c r="E30" s="40"/>
      <c r="F30" s="7"/>
      <c r="G30" s="40"/>
      <c r="H30" s="40"/>
      <c r="I30" s="20" t="str">
        <f>IF(AND(G30="",H30=""),"",IF(COUNT(G30:H30)&lt;2,"Eksik giriş",ROUND(G30*H30,2)))</f>
      </c>
      <c r="J30" s="40"/>
      <c r="K30" s="40"/>
      <c r="L30" s="20" t="str">
        <f>IF(AND(J30="",K30=""),"",IF(COUNT(J30:K30)&lt;2,"Eksik giriş",ROUND(J30*K30,2)))</f>
      </c>
      <c r="M30" s="40"/>
      <c r="N30" s="40"/>
      <c r="O30" s="20" t="str">
        <f>IF(AND(M30="",N30=""),"",IF(COUNT(M30:N30)&lt;2,"Eksik giriş",ROUND(M30*N30,2)))</f>
      </c>
      <c r="P30" s="2"/>
      <c r="Q30" s="20" t="str">
        <f>IF(AND(COUNTA($A30:$F30)=0,COUNT($G30:$P30)=0),"",SUMIFS($G30:$P30,$G$4:$P$4,"Miktar"))</f>
      </c>
      <c r="R30" s="20" t="str">
        <f>IF($E30="","",$E30-Q30)</f>
      </c>
      <c r="S30" s="39" t="str">
        <f>IF(AND(COUNTA($A30:$F30)=0,COUNT($G30:$P30)=0),"",IF(OR($A30="",$B30="",$C30="",$F30=""),"Tanım eksik",IF(COUNT($D30:$E30)&lt;2,"Metraj eksik",IF(COUNTIFS($G30:$P30,"Eksik giriş")&gt;0,"Fiyat / miktar eksik",IF(MIN($D30:$P30)&lt;0,"Negatif giriş",IF($E30&gt;$D30,"Kümülatif &gt; toplam",IF(Q30&gt;$E30,"Verilen &gt; kümülatif","Uygun")))))))</f>
      </c>
    </row>
    <row r="31" ht="24" customHeight="1">
      <c r="A31" s="7"/>
      <c r="B31" s="7"/>
      <c r="C31" s="7"/>
      <c r="D31" s="40"/>
      <c r="E31" s="40"/>
      <c r="F31" s="7"/>
      <c r="G31" s="40"/>
      <c r="H31" s="40"/>
      <c r="I31" s="20" t="str">
        <f>IF(AND(G31="",H31=""),"",IF(COUNT(G31:H31)&lt;2,"Eksik giriş",ROUND(G31*H31,2)))</f>
      </c>
      <c r="J31" s="40"/>
      <c r="K31" s="40"/>
      <c r="L31" s="20" t="str">
        <f>IF(AND(J31="",K31=""),"",IF(COUNT(J31:K31)&lt;2,"Eksik giriş",ROUND(J31*K31,2)))</f>
      </c>
      <c r="M31" s="40"/>
      <c r="N31" s="40"/>
      <c r="O31" s="20" t="str">
        <f>IF(AND(M31="",N31=""),"",IF(COUNT(M31:N31)&lt;2,"Eksik giriş",ROUND(M31*N31,2)))</f>
      </c>
      <c r="P31" s="2"/>
      <c r="Q31" s="20" t="str">
        <f>IF(AND(COUNTA($A31:$F31)=0,COUNT($G31:$P31)=0),"",SUMIFS($G31:$P31,$G$4:$P$4,"Miktar"))</f>
      </c>
      <c r="R31" s="20" t="str">
        <f>IF($E31="","",$E31-Q31)</f>
      </c>
      <c r="S31" s="39" t="str">
        <f>IF(AND(COUNTA($A31:$F31)=0,COUNT($G31:$P31)=0),"",IF(OR($A31="",$B31="",$C31="",$F31=""),"Tanım eksik",IF(COUNT($D31:$E31)&lt;2,"Metraj eksik",IF(COUNTIFS($G31:$P31,"Eksik giriş")&gt;0,"Fiyat / miktar eksik",IF(MIN($D31:$P31)&lt;0,"Negatif giriş",IF($E31&gt;$D31,"Kümülatif &gt; toplam",IF(Q31&gt;$E31,"Verilen &gt; kümülatif","Uygun")))))))</f>
      </c>
    </row>
    <row r="32" ht="24" customHeight="1">
      <c r="A32" s="7"/>
      <c r="B32" s="7"/>
      <c r="C32" s="7"/>
      <c r="D32" s="40"/>
      <c r="E32" s="40"/>
      <c r="F32" s="7"/>
      <c r="G32" s="40"/>
      <c r="H32" s="40"/>
      <c r="I32" s="20" t="str">
        <f>IF(AND(G32="",H32=""),"",IF(COUNT(G32:H32)&lt;2,"Eksik giriş",ROUND(G32*H32,2)))</f>
      </c>
      <c r="J32" s="40"/>
      <c r="K32" s="40"/>
      <c r="L32" s="20" t="str">
        <f>IF(AND(J32="",K32=""),"",IF(COUNT(J32:K32)&lt;2,"Eksik giriş",ROUND(J32*K32,2)))</f>
      </c>
      <c r="M32" s="40"/>
      <c r="N32" s="40"/>
      <c r="O32" s="20" t="str">
        <f>IF(AND(M32="",N32=""),"",IF(COUNT(M32:N32)&lt;2,"Eksik giriş",ROUND(M32*N32,2)))</f>
      </c>
      <c r="P32" s="2"/>
      <c r="Q32" s="20" t="str">
        <f>IF(AND(COUNTA($A32:$F32)=0,COUNT($G32:$P32)=0),"",SUMIFS($G32:$P32,$G$4:$P$4,"Miktar"))</f>
      </c>
      <c r="R32" s="20" t="str">
        <f>IF($E32="","",$E32-Q32)</f>
      </c>
      <c r="S32" s="39" t="str">
        <f>IF(AND(COUNTA($A32:$F32)=0,COUNT($G32:$P32)=0),"",IF(OR($A32="",$B32="",$C32="",$F32=""),"Tanım eksik",IF(COUNT($D32:$E32)&lt;2,"Metraj eksik",IF(COUNTIFS($G32:$P32,"Eksik giriş")&gt;0,"Fiyat / miktar eksik",IF(MIN($D32:$P32)&lt;0,"Negatif giriş",IF($E32&gt;$D32,"Kümülatif &gt; toplam",IF(Q32&gt;$E32,"Verilen &gt; kümülatif","Uygun")))))))</f>
      </c>
    </row>
    <row r="33" ht="24" customHeight="1">
      <c r="A33" s="7"/>
      <c r="B33" s="7"/>
      <c r="C33" s="7"/>
      <c r="D33" s="40"/>
      <c r="E33" s="40"/>
      <c r="F33" s="7"/>
      <c r="G33" s="40"/>
      <c r="H33" s="40"/>
      <c r="I33" s="20" t="str">
        <f>IF(AND(G33="",H33=""),"",IF(COUNT(G33:H33)&lt;2,"Eksik giriş",ROUND(G33*H33,2)))</f>
      </c>
      <c r="J33" s="40"/>
      <c r="K33" s="40"/>
      <c r="L33" s="20" t="str">
        <f>IF(AND(J33="",K33=""),"",IF(COUNT(J33:K33)&lt;2,"Eksik giriş",ROUND(J33*K33,2)))</f>
      </c>
      <c r="M33" s="40"/>
      <c r="N33" s="40"/>
      <c r="O33" s="20" t="str">
        <f>IF(AND(M33="",N33=""),"",IF(COUNT(M33:N33)&lt;2,"Eksik giriş",ROUND(M33*N33,2)))</f>
      </c>
      <c r="P33" s="2"/>
      <c r="Q33" s="20" t="str">
        <f>IF(AND(COUNTA($A33:$F33)=0,COUNT($G33:$P33)=0),"",SUMIFS($G33:$P33,$G$4:$P$4,"Miktar"))</f>
      </c>
      <c r="R33" s="20" t="str">
        <f>IF($E33="","",$E33-Q33)</f>
      </c>
      <c r="S33" s="39" t="str">
        <f>IF(AND(COUNTA($A33:$F33)=0,COUNT($G33:$P33)=0),"",IF(OR($A33="",$B33="",$C33="",$F33=""),"Tanım eksik",IF(COUNT($D33:$E33)&lt;2,"Metraj eksik",IF(COUNTIFS($G33:$P33,"Eksik giriş")&gt;0,"Fiyat / miktar eksik",IF(MIN($D33:$P33)&lt;0,"Negatif giriş",IF($E33&gt;$D33,"Kümülatif &gt; toplam",IF(Q33&gt;$E33,"Verilen &gt; kümülatif","Uygun")))))))</f>
      </c>
    </row>
    <row r="34" ht="24" customHeight="1">
      <c r="A34" s="7"/>
      <c r="B34" s="7"/>
      <c r="C34" s="7"/>
      <c r="D34" s="40"/>
      <c r="E34" s="40"/>
      <c r="F34" s="7"/>
      <c r="G34" s="40"/>
      <c r="H34" s="40"/>
      <c r="I34" s="20" t="str">
        <f>IF(AND(G34="",H34=""),"",IF(COUNT(G34:H34)&lt;2,"Eksik giriş",ROUND(G34*H34,2)))</f>
      </c>
      <c r="J34" s="40"/>
      <c r="K34" s="40"/>
      <c r="L34" s="20" t="str">
        <f>IF(AND(J34="",K34=""),"",IF(COUNT(J34:K34)&lt;2,"Eksik giriş",ROUND(J34*K34,2)))</f>
      </c>
      <c r="M34" s="40"/>
      <c r="N34" s="40"/>
      <c r="O34" s="20" t="str">
        <f>IF(AND(M34="",N34=""),"",IF(COUNT(M34:N34)&lt;2,"Eksik giriş",ROUND(M34*N34,2)))</f>
      </c>
      <c r="P34" s="2"/>
      <c r="Q34" s="20" t="str">
        <f>IF(AND(COUNTA($A34:$F34)=0,COUNT($G34:$P34)=0),"",SUMIFS($G34:$P34,$G$4:$P$4,"Miktar"))</f>
      </c>
      <c r="R34" s="20" t="str">
        <f>IF($E34="","",$E34-Q34)</f>
      </c>
      <c r="S34" s="39" t="str">
        <f>IF(AND(COUNTA($A34:$F34)=0,COUNT($G34:$P34)=0),"",IF(OR($A34="",$B34="",$C34="",$F34=""),"Tanım eksik",IF(COUNT($D34:$E34)&lt;2,"Metraj eksik",IF(COUNTIFS($G34:$P34,"Eksik giriş")&gt;0,"Fiyat / miktar eksik",IF(MIN($D34:$P34)&lt;0,"Negatif giriş",IF($E34&gt;$D34,"Kümülatif &gt; toplam",IF(Q34&gt;$E34,"Verilen &gt; kümülatif","Uygun")))))))</f>
      </c>
    </row>
    <row r="35" ht="24" customHeight="1">
      <c r="A35" s="7"/>
      <c r="B35" s="7"/>
      <c r="C35" s="7"/>
      <c r="D35" s="40"/>
      <c r="E35" s="40"/>
      <c r="F35" s="7"/>
      <c r="G35" s="40"/>
      <c r="H35" s="40"/>
      <c r="I35" s="20" t="str">
        <f>IF(AND(G35="",H35=""),"",IF(COUNT(G35:H35)&lt;2,"Eksik giriş",ROUND(G35*H35,2)))</f>
      </c>
      <c r="J35" s="40"/>
      <c r="K35" s="40"/>
      <c r="L35" s="20" t="str">
        <f>IF(AND(J35="",K35=""),"",IF(COUNT(J35:K35)&lt;2,"Eksik giriş",ROUND(J35*K35,2)))</f>
      </c>
      <c r="M35" s="40"/>
      <c r="N35" s="40"/>
      <c r="O35" s="20" t="str">
        <f>IF(AND(M35="",N35=""),"",IF(COUNT(M35:N35)&lt;2,"Eksik giriş",ROUND(M35*N35,2)))</f>
      </c>
      <c r="P35" s="2"/>
      <c r="Q35" s="20" t="str">
        <f>IF(AND(COUNTA($A35:$F35)=0,COUNT($G35:$P35)=0),"",SUMIFS($G35:$P35,$G$4:$P$4,"Miktar"))</f>
      </c>
      <c r="R35" s="20" t="str">
        <f>IF($E35="","",$E35-Q35)</f>
      </c>
      <c r="S35" s="39" t="str">
        <f>IF(AND(COUNTA($A35:$F35)=0,COUNT($G35:$P35)=0),"",IF(OR($A35="",$B35="",$C35="",$F35=""),"Tanım eksik",IF(COUNT($D35:$E35)&lt;2,"Metraj eksik",IF(COUNTIFS($G35:$P35,"Eksik giriş")&gt;0,"Fiyat / miktar eksik",IF(MIN($D35:$P35)&lt;0,"Negatif giriş",IF($E35&gt;$D35,"Kümülatif &gt; toplam",IF(Q35&gt;$E35,"Verilen &gt; kümülatif","Uygun")))))))</f>
      </c>
    </row>
    <row r="36" ht="24" customHeight="1">
      <c r="A36" s="7"/>
      <c r="B36" s="7"/>
      <c r="C36" s="7"/>
      <c r="D36" s="40"/>
      <c r="E36" s="40"/>
      <c r="F36" s="7"/>
      <c r="G36" s="40"/>
      <c r="H36" s="40"/>
      <c r="I36" s="20" t="str">
        <f>IF(AND(G36="",H36=""),"",IF(COUNT(G36:H36)&lt;2,"Eksik giriş",ROUND(G36*H36,2)))</f>
      </c>
      <c r="J36" s="40"/>
      <c r="K36" s="40"/>
      <c r="L36" s="20" t="str">
        <f>IF(AND(J36="",K36=""),"",IF(COUNT(J36:K36)&lt;2,"Eksik giriş",ROUND(J36*K36,2)))</f>
      </c>
      <c r="M36" s="40"/>
      <c r="N36" s="40"/>
      <c r="O36" s="20" t="str">
        <f>IF(AND(M36="",N36=""),"",IF(COUNT(M36:N36)&lt;2,"Eksik giriş",ROUND(M36*N36,2)))</f>
      </c>
      <c r="P36" s="2"/>
      <c r="Q36" s="20" t="str">
        <f>IF(AND(COUNTA($A36:$F36)=0,COUNT($G36:$P36)=0),"",SUMIFS($G36:$P36,$G$4:$P$4,"Miktar"))</f>
      </c>
      <c r="R36" s="20" t="str">
        <f>IF($E36="","",$E36-Q36)</f>
      </c>
      <c r="S36" s="39" t="str">
        <f>IF(AND(COUNTA($A36:$F36)=0,COUNT($G36:$P36)=0),"",IF(OR($A36="",$B36="",$C36="",$F36=""),"Tanım eksik",IF(COUNT($D36:$E36)&lt;2,"Metraj eksik",IF(COUNTIFS($G36:$P36,"Eksik giriş")&gt;0,"Fiyat / miktar eksik",IF(MIN($D36:$P36)&lt;0,"Negatif giriş",IF($E36&gt;$D36,"Kümülatif &gt; toplam",IF(Q36&gt;$E36,"Verilen &gt; kümülatif","Uygun")))))))</f>
      </c>
    </row>
    <row r="37" ht="24" customHeight="1">
      <c r="A37" s="7"/>
      <c r="B37" s="7"/>
      <c r="C37" s="7"/>
      <c r="D37" s="40"/>
      <c r="E37" s="40"/>
      <c r="F37" s="7"/>
      <c r="G37" s="40"/>
      <c r="H37" s="40"/>
      <c r="I37" s="20" t="str">
        <f>IF(AND(G37="",H37=""),"",IF(COUNT(G37:H37)&lt;2,"Eksik giriş",ROUND(G37*H37,2)))</f>
      </c>
      <c r="J37" s="40"/>
      <c r="K37" s="40"/>
      <c r="L37" s="20" t="str">
        <f>IF(AND(J37="",K37=""),"",IF(COUNT(J37:K37)&lt;2,"Eksik giriş",ROUND(J37*K37,2)))</f>
      </c>
      <c r="M37" s="40"/>
      <c r="N37" s="40"/>
      <c r="O37" s="20" t="str">
        <f>IF(AND(M37="",N37=""),"",IF(COUNT(M37:N37)&lt;2,"Eksik giriş",ROUND(M37*N37,2)))</f>
      </c>
      <c r="P37" s="2"/>
      <c r="Q37" s="20" t="str">
        <f>IF(AND(COUNTA($A37:$F37)=0,COUNT($G37:$P37)=0),"",SUMIFS($G37:$P37,$G$4:$P$4,"Miktar"))</f>
      </c>
      <c r="R37" s="20" t="str">
        <f>IF($E37="","",$E37-Q37)</f>
      </c>
      <c r="S37" s="39" t="str">
        <f>IF(AND(COUNTA($A37:$F37)=0,COUNT($G37:$P37)=0),"",IF(OR($A37="",$B37="",$C37="",$F37=""),"Tanım eksik",IF(COUNT($D37:$E37)&lt;2,"Metraj eksik",IF(COUNTIFS($G37:$P37,"Eksik giriş")&gt;0,"Fiyat / miktar eksik",IF(MIN($D37:$P37)&lt;0,"Negatif giriş",IF($E37&gt;$D37,"Kümülatif &gt; toplam",IF(Q37&gt;$E37,"Verilen &gt; kümülatif","Uygun")))))))</f>
      </c>
    </row>
    <row r="38" ht="24" customHeight="1">
      <c r="A38" s="7"/>
      <c r="B38" s="7"/>
      <c r="C38" s="7"/>
      <c r="D38" s="40"/>
      <c r="E38" s="40"/>
      <c r="F38" s="7"/>
      <c r="G38" s="40"/>
      <c r="H38" s="40"/>
      <c r="I38" s="20" t="str">
        <f>IF(AND(G38="",H38=""),"",IF(COUNT(G38:H38)&lt;2,"Eksik giriş",ROUND(G38*H38,2)))</f>
      </c>
      <c r="J38" s="40"/>
      <c r="K38" s="40"/>
      <c r="L38" s="20" t="str">
        <f>IF(AND(J38="",K38=""),"",IF(COUNT(J38:K38)&lt;2,"Eksik giriş",ROUND(J38*K38,2)))</f>
      </c>
      <c r="M38" s="40"/>
      <c r="N38" s="40"/>
      <c r="O38" s="20" t="str">
        <f>IF(AND(M38="",N38=""),"",IF(COUNT(M38:N38)&lt;2,"Eksik giriş",ROUND(M38*N38,2)))</f>
      </c>
      <c r="P38" s="2"/>
      <c r="Q38" s="20" t="str">
        <f>IF(AND(COUNTA($A38:$F38)=0,COUNT($G38:$P38)=0),"",SUMIFS($G38:$P38,$G$4:$P$4,"Miktar"))</f>
      </c>
      <c r="R38" s="20" t="str">
        <f>IF($E38="","",$E38-Q38)</f>
      </c>
      <c r="S38" s="39" t="str">
        <f>IF(AND(COUNTA($A38:$F38)=0,COUNT($G38:$P38)=0),"",IF(OR($A38="",$B38="",$C38="",$F38=""),"Tanım eksik",IF(COUNT($D38:$E38)&lt;2,"Metraj eksik",IF(COUNTIFS($G38:$P38,"Eksik giriş")&gt;0,"Fiyat / miktar eksik",IF(MIN($D38:$P38)&lt;0,"Negatif giriş",IF($E38&gt;$D38,"Kümülatif &gt; toplam",IF(Q38&gt;$E38,"Verilen &gt; kümülatif","Uygun")))))))</f>
      </c>
    </row>
    <row r="39" ht="24" customHeight="1">
      <c r="A39" s="7"/>
      <c r="B39" s="7"/>
      <c r="C39" s="7"/>
      <c r="D39" s="40"/>
      <c r="E39" s="40"/>
      <c r="F39" s="7"/>
      <c r="G39" s="40"/>
      <c r="H39" s="40"/>
      <c r="I39" s="20" t="str">
        <f>IF(AND(G39="",H39=""),"",IF(COUNT(G39:H39)&lt;2,"Eksik giriş",ROUND(G39*H39,2)))</f>
      </c>
      <c r="J39" s="40"/>
      <c r="K39" s="40"/>
      <c r="L39" s="20" t="str">
        <f>IF(AND(J39="",K39=""),"",IF(COUNT(J39:K39)&lt;2,"Eksik giriş",ROUND(J39*K39,2)))</f>
      </c>
      <c r="M39" s="40"/>
      <c r="N39" s="40"/>
      <c r="O39" s="20" t="str">
        <f>IF(AND(M39="",N39=""),"",IF(COUNT(M39:N39)&lt;2,"Eksik giriş",ROUND(M39*N39,2)))</f>
      </c>
      <c r="P39" s="2"/>
      <c r="Q39" s="20" t="str">
        <f>IF(AND(COUNTA($A39:$F39)=0,COUNT($G39:$P39)=0),"",SUMIFS($G39:$P39,$G$4:$P$4,"Miktar"))</f>
      </c>
      <c r="R39" s="20" t="str">
        <f>IF($E39="","",$E39-Q39)</f>
      </c>
      <c r="S39" s="39" t="str">
        <f>IF(AND(COUNTA($A39:$F39)=0,COUNT($G39:$P39)=0),"",IF(OR($A39="",$B39="",$C39="",$F39=""),"Tanım eksik",IF(COUNT($D39:$E39)&lt;2,"Metraj eksik",IF(COUNTIFS($G39:$P39,"Eksik giriş")&gt;0,"Fiyat / miktar eksik",IF(MIN($D39:$P39)&lt;0,"Negatif giriş",IF($E39&gt;$D39,"Kümülatif &gt; toplam",IF(Q39&gt;$E39,"Verilen &gt; kümülatif","Uygun")))))))</f>
      </c>
    </row>
    <row r="40" ht="24" customHeight="1">
      <c r="A40" s="7"/>
      <c r="B40" s="7"/>
      <c r="C40" s="7"/>
      <c r="D40" s="40"/>
      <c r="E40" s="40"/>
      <c r="F40" s="7"/>
      <c r="G40" s="40"/>
      <c r="H40" s="40"/>
      <c r="I40" s="20" t="str">
        <f>IF(AND(G40="",H40=""),"",IF(COUNT(G40:H40)&lt;2,"Eksik giriş",ROUND(G40*H40,2)))</f>
      </c>
      <c r="J40" s="40"/>
      <c r="K40" s="40"/>
      <c r="L40" s="20" t="str">
        <f>IF(AND(J40="",K40=""),"",IF(COUNT(J40:K40)&lt;2,"Eksik giriş",ROUND(J40*K40,2)))</f>
      </c>
      <c r="M40" s="40"/>
      <c r="N40" s="40"/>
      <c r="O40" s="20" t="str">
        <f>IF(AND(M40="",N40=""),"",IF(COUNT(M40:N40)&lt;2,"Eksik giriş",ROUND(M40*N40,2)))</f>
      </c>
      <c r="P40" s="2"/>
      <c r="Q40" s="20" t="str">
        <f>IF(AND(COUNTA($A40:$F40)=0,COUNT($G40:$P40)=0),"",SUMIFS($G40:$P40,$G$4:$P$4,"Miktar"))</f>
      </c>
      <c r="R40" s="20" t="str">
        <f>IF($E40="","",$E40-Q40)</f>
      </c>
      <c r="S40" s="39" t="str">
        <f>IF(AND(COUNTA($A40:$F40)=0,COUNT($G40:$P40)=0),"",IF(OR($A40="",$B40="",$C40="",$F40=""),"Tanım eksik",IF(COUNT($D40:$E40)&lt;2,"Metraj eksik",IF(COUNTIFS($G40:$P40,"Eksik giriş")&gt;0,"Fiyat / miktar eksik",IF(MIN($D40:$P40)&lt;0,"Negatif giriş",IF($E40&gt;$D40,"Kümülatif &gt; toplam",IF(Q40&gt;$E40,"Verilen &gt; kümülatif","Uygun")))))))</f>
      </c>
    </row>
    <row r="41" ht="24" customHeight="1">
      <c r="A41" s="7"/>
      <c r="B41" s="7"/>
      <c r="C41" s="7"/>
      <c r="D41" s="40"/>
      <c r="E41" s="40"/>
      <c r="F41" s="7"/>
      <c r="G41" s="40"/>
      <c r="H41" s="40"/>
      <c r="I41" s="20" t="str">
        <f>IF(AND(G41="",H41=""),"",IF(COUNT(G41:H41)&lt;2,"Eksik giriş",ROUND(G41*H41,2)))</f>
      </c>
      <c r="J41" s="40"/>
      <c r="K41" s="40"/>
      <c r="L41" s="20" t="str">
        <f>IF(AND(J41="",K41=""),"",IF(COUNT(J41:K41)&lt;2,"Eksik giriş",ROUND(J41*K41,2)))</f>
      </c>
      <c r="M41" s="40"/>
      <c r="N41" s="40"/>
      <c r="O41" s="20" t="str">
        <f>IF(AND(M41="",N41=""),"",IF(COUNT(M41:N41)&lt;2,"Eksik giriş",ROUND(M41*N41,2)))</f>
      </c>
      <c r="P41" s="2"/>
      <c r="Q41" s="20" t="str">
        <f>IF(AND(COUNTA($A41:$F41)=0,COUNT($G41:$P41)=0),"",SUMIFS($G41:$P41,$G$4:$P$4,"Miktar"))</f>
      </c>
      <c r="R41" s="20" t="str">
        <f>IF($E41="","",$E41-Q41)</f>
      </c>
      <c r="S41" s="39" t="str">
        <f>IF(AND(COUNTA($A41:$F41)=0,COUNT($G41:$P41)=0),"",IF(OR($A41="",$B41="",$C41="",$F41=""),"Tanım eksik",IF(COUNT($D41:$E41)&lt;2,"Metraj eksik",IF(COUNTIFS($G41:$P41,"Eksik giriş")&gt;0,"Fiyat / miktar eksik",IF(MIN($D41:$P41)&lt;0,"Negatif giriş",IF($E41&gt;$D41,"Kümülatif &gt; toplam",IF(Q41&gt;$E41,"Verilen &gt; kümülatif","Uygun")))))))</f>
      </c>
    </row>
    <row r="42" ht="24" customHeight="1">
      <c r="A42" s="7"/>
      <c r="B42" s="7"/>
      <c r="C42" s="7"/>
      <c r="D42" s="40"/>
      <c r="E42" s="40"/>
      <c r="F42" s="7"/>
      <c r="G42" s="40"/>
      <c r="H42" s="40"/>
      <c r="I42" s="20" t="str">
        <f>IF(AND(G42="",H42=""),"",IF(COUNT(G42:H42)&lt;2,"Eksik giriş",ROUND(G42*H42,2)))</f>
      </c>
      <c r="J42" s="40"/>
      <c r="K42" s="40"/>
      <c r="L42" s="20" t="str">
        <f>IF(AND(J42="",K42=""),"",IF(COUNT(J42:K42)&lt;2,"Eksik giriş",ROUND(J42*K42,2)))</f>
      </c>
      <c r="M42" s="40"/>
      <c r="N42" s="40"/>
      <c r="O42" s="20" t="str">
        <f>IF(AND(M42="",N42=""),"",IF(COUNT(M42:N42)&lt;2,"Eksik giriş",ROUND(M42*N42,2)))</f>
      </c>
      <c r="P42" s="2"/>
      <c r="Q42" s="20" t="str">
        <f>IF(AND(COUNTA($A42:$F42)=0,COUNT($G42:$P42)=0),"",SUMIFS($G42:$P42,$G$4:$P$4,"Miktar"))</f>
      </c>
      <c r="R42" s="20" t="str">
        <f>IF($E42="","",$E42-Q42)</f>
      </c>
      <c r="S42" s="39" t="str">
        <f>IF(AND(COUNTA($A42:$F42)=0,COUNT($G42:$P42)=0),"",IF(OR($A42="",$B42="",$C42="",$F42=""),"Tanım eksik",IF(COUNT($D42:$E42)&lt;2,"Metraj eksik",IF(COUNTIFS($G42:$P42,"Eksik giriş")&gt;0,"Fiyat / miktar eksik",IF(MIN($D42:$P42)&lt;0,"Negatif giriş",IF($E42&gt;$D42,"Kümülatif &gt; toplam",IF(Q42&gt;$E42,"Verilen &gt; kümülatif","Uygun")))))))</f>
      </c>
    </row>
    <row r="43" ht="24" customHeight="1">
      <c r="A43" s="7"/>
      <c r="B43" s="7"/>
      <c r="C43" s="7"/>
      <c r="D43" s="40"/>
      <c r="E43" s="40"/>
      <c r="F43" s="7"/>
      <c r="G43" s="40"/>
      <c r="H43" s="40"/>
      <c r="I43" s="20" t="str">
        <f>IF(AND(G43="",H43=""),"",IF(COUNT(G43:H43)&lt;2,"Eksik giriş",ROUND(G43*H43,2)))</f>
      </c>
      <c r="J43" s="40"/>
      <c r="K43" s="40"/>
      <c r="L43" s="20" t="str">
        <f>IF(AND(J43="",K43=""),"",IF(COUNT(J43:K43)&lt;2,"Eksik giriş",ROUND(J43*K43,2)))</f>
      </c>
      <c r="M43" s="40"/>
      <c r="N43" s="40"/>
      <c r="O43" s="20" t="str">
        <f>IF(AND(M43="",N43=""),"",IF(COUNT(M43:N43)&lt;2,"Eksik giriş",ROUND(M43*N43,2)))</f>
      </c>
      <c r="P43" s="2"/>
      <c r="Q43" s="20" t="str">
        <f>IF(AND(COUNTA($A43:$F43)=0,COUNT($G43:$P43)=0),"",SUMIFS($G43:$P43,$G$4:$P$4,"Miktar"))</f>
      </c>
      <c r="R43" s="20" t="str">
        <f>IF($E43="","",$E43-Q43)</f>
      </c>
      <c r="S43" s="39" t="str">
        <f>IF(AND(COUNTA($A43:$F43)=0,COUNT($G43:$P43)=0),"",IF(OR($A43="",$B43="",$C43="",$F43=""),"Tanım eksik",IF(COUNT($D43:$E43)&lt;2,"Metraj eksik",IF(COUNTIFS($G43:$P43,"Eksik giriş")&gt;0,"Fiyat / miktar eksik",IF(MIN($D43:$P43)&lt;0,"Negatif giriş",IF($E43&gt;$D43,"Kümülatif &gt; toplam",IF(Q43&gt;$E43,"Verilen &gt; kümülatif","Uygun")))))))</f>
      </c>
    </row>
    <row r="44" ht="24" customHeight="1">
      <c r="A44" s="7"/>
      <c r="B44" s="7"/>
      <c r="C44" s="7"/>
      <c r="D44" s="40"/>
      <c r="E44" s="40"/>
      <c r="F44" s="7"/>
      <c r="G44" s="40"/>
      <c r="H44" s="40"/>
      <c r="I44" s="20" t="str">
        <f>IF(AND(G44="",H44=""),"",IF(COUNT(G44:H44)&lt;2,"Eksik giriş",ROUND(G44*H44,2)))</f>
      </c>
      <c r="J44" s="40"/>
      <c r="K44" s="40"/>
      <c r="L44" s="20" t="str">
        <f>IF(AND(J44="",K44=""),"",IF(COUNT(J44:K44)&lt;2,"Eksik giriş",ROUND(J44*K44,2)))</f>
      </c>
      <c r="M44" s="40"/>
      <c r="N44" s="40"/>
      <c r="O44" s="20" t="str">
        <f>IF(AND(M44="",N44=""),"",IF(COUNT(M44:N44)&lt;2,"Eksik giriş",ROUND(M44*N44,2)))</f>
      </c>
      <c r="P44" s="2"/>
      <c r="Q44" s="20" t="str">
        <f>IF(AND(COUNTA($A44:$F44)=0,COUNT($G44:$P44)=0),"",SUMIFS($G44:$P44,$G$4:$P$4,"Miktar"))</f>
      </c>
      <c r="R44" s="20" t="str">
        <f>IF($E44="","",$E44-Q44)</f>
      </c>
      <c r="S44" s="39" t="str">
        <f>IF(AND(COUNTA($A44:$F44)=0,COUNT($G44:$P44)=0),"",IF(OR($A44="",$B44="",$C44="",$F44=""),"Tanım eksik",IF(COUNT($D44:$E44)&lt;2,"Metraj eksik",IF(COUNTIFS($G44:$P44,"Eksik giriş")&gt;0,"Fiyat / miktar eksik",IF(MIN($D44:$P44)&lt;0,"Negatif giriş",IF($E44&gt;$D44,"Kümülatif &gt; toplam",IF(Q44&gt;$E44,"Verilen &gt; kümülatif","Uygun")))))))</f>
      </c>
    </row>
    <row r="45" ht="24" customHeight="1">
      <c r="A45" s="7"/>
      <c r="B45" s="7"/>
      <c r="C45" s="7"/>
      <c r="D45" s="40"/>
      <c r="E45" s="40"/>
      <c r="F45" s="7"/>
      <c r="G45" s="40"/>
      <c r="H45" s="40"/>
      <c r="I45" s="20" t="str">
        <f>IF(AND(G45="",H45=""),"",IF(COUNT(G45:H45)&lt;2,"Eksik giriş",ROUND(G45*H45,2)))</f>
      </c>
      <c r="J45" s="40"/>
      <c r="K45" s="40"/>
      <c r="L45" s="20" t="str">
        <f>IF(AND(J45="",K45=""),"",IF(COUNT(J45:K45)&lt;2,"Eksik giriş",ROUND(J45*K45,2)))</f>
      </c>
      <c r="M45" s="40"/>
      <c r="N45" s="40"/>
      <c r="O45" s="20" t="str">
        <f>IF(AND(M45="",N45=""),"",IF(COUNT(M45:N45)&lt;2,"Eksik giriş",ROUND(M45*N45,2)))</f>
      </c>
      <c r="P45" s="2"/>
      <c r="Q45" s="20" t="str">
        <f>IF(AND(COUNTA($A45:$F45)=0,COUNT($G45:$P45)=0),"",SUMIFS($G45:$P45,$G$4:$P$4,"Miktar"))</f>
      </c>
      <c r="R45" s="20" t="str">
        <f>IF($E45="","",$E45-Q45)</f>
      </c>
      <c r="S45" s="39" t="str">
        <f>IF(AND(COUNTA($A45:$F45)=0,COUNT($G45:$P45)=0),"",IF(OR($A45="",$B45="",$C45="",$F45=""),"Tanım eksik",IF(COUNT($D45:$E45)&lt;2,"Metraj eksik",IF(COUNTIFS($G45:$P45,"Eksik giriş")&gt;0,"Fiyat / miktar eksik",IF(MIN($D45:$P45)&lt;0,"Negatif giriş",IF($E45&gt;$D45,"Kümülatif &gt; toplam",IF(Q45&gt;$E45,"Verilen &gt; kümülatif","Uygun")))))))</f>
      </c>
    </row>
    <row r="46" ht="24" customHeight="1">
      <c r="A46" s="7"/>
      <c r="B46" s="7"/>
      <c r="C46" s="7"/>
      <c r="D46" s="40"/>
      <c r="E46" s="40"/>
      <c r="F46" s="7"/>
      <c r="G46" s="40"/>
      <c r="H46" s="40"/>
      <c r="I46" s="20" t="str">
        <f>IF(AND(G46="",H46=""),"",IF(COUNT(G46:H46)&lt;2,"Eksik giriş",ROUND(G46*H46,2)))</f>
      </c>
      <c r="J46" s="40"/>
      <c r="K46" s="40"/>
      <c r="L46" s="20" t="str">
        <f>IF(AND(J46="",K46=""),"",IF(COUNT(J46:K46)&lt;2,"Eksik giriş",ROUND(J46*K46,2)))</f>
      </c>
      <c r="M46" s="40"/>
      <c r="N46" s="40"/>
      <c r="O46" s="20" t="str">
        <f>IF(AND(M46="",N46=""),"",IF(COUNT(M46:N46)&lt;2,"Eksik giriş",ROUND(M46*N46,2)))</f>
      </c>
      <c r="P46" s="2"/>
      <c r="Q46" s="20" t="str">
        <f>IF(AND(COUNTA($A46:$F46)=0,COUNT($G46:$P46)=0),"",SUMIFS($G46:$P46,$G$4:$P$4,"Miktar"))</f>
      </c>
      <c r="R46" s="20" t="str">
        <f>IF($E46="","",$E46-Q46)</f>
      </c>
      <c r="S46" s="39" t="str">
        <f>IF(AND(COUNTA($A46:$F46)=0,COUNT($G46:$P46)=0),"",IF(OR($A46="",$B46="",$C46="",$F46=""),"Tanım eksik",IF(COUNT($D46:$E46)&lt;2,"Metraj eksik",IF(COUNTIFS($G46:$P46,"Eksik giriş")&gt;0,"Fiyat / miktar eksik",IF(MIN($D46:$P46)&lt;0,"Negatif giriş",IF($E46&gt;$D46,"Kümülatif &gt; toplam",IF(Q46&gt;$E46,"Verilen &gt; kümülatif","Uygun")))))))</f>
      </c>
    </row>
    <row r="47" ht="24" customHeight="1">
      <c r="A47" s="7"/>
      <c r="B47" s="7"/>
      <c r="C47" s="7"/>
      <c r="D47" s="40"/>
      <c r="E47" s="40"/>
      <c r="F47" s="7"/>
      <c r="G47" s="40"/>
      <c r="H47" s="40"/>
      <c r="I47" s="20" t="str">
        <f>IF(AND(G47="",H47=""),"",IF(COUNT(G47:H47)&lt;2,"Eksik giriş",ROUND(G47*H47,2)))</f>
      </c>
      <c r="J47" s="40"/>
      <c r="K47" s="40"/>
      <c r="L47" s="20" t="str">
        <f>IF(AND(J47="",K47=""),"",IF(COUNT(J47:K47)&lt;2,"Eksik giriş",ROUND(J47*K47,2)))</f>
      </c>
      <c r="M47" s="40"/>
      <c r="N47" s="40"/>
      <c r="O47" s="20" t="str">
        <f>IF(AND(M47="",N47=""),"",IF(COUNT(M47:N47)&lt;2,"Eksik giriş",ROUND(M47*N47,2)))</f>
      </c>
      <c r="P47" s="2"/>
      <c r="Q47" s="20" t="str">
        <f>IF(AND(COUNTA($A47:$F47)=0,COUNT($G47:$P47)=0),"",SUMIFS($G47:$P47,$G$4:$P$4,"Miktar"))</f>
      </c>
      <c r="R47" s="20" t="str">
        <f>IF($E47="","",$E47-Q47)</f>
      </c>
      <c r="S47" s="39" t="str">
        <f>IF(AND(COUNTA($A47:$F47)=0,COUNT($G47:$P47)=0),"",IF(OR($A47="",$B47="",$C47="",$F47=""),"Tanım eksik",IF(COUNT($D47:$E47)&lt;2,"Metraj eksik",IF(COUNTIFS($G47:$P47,"Eksik giriş")&gt;0,"Fiyat / miktar eksik",IF(MIN($D47:$P47)&lt;0,"Negatif giriş",IF($E47&gt;$D47,"Kümülatif &gt; toplam",IF(Q47&gt;$E47,"Verilen &gt; kümülatif","Uygun")))))))</f>
      </c>
    </row>
    <row r="48" ht="24" customHeight="1">
      <c r="A48" s="7"/>
      <c r="B48" s="7"/>
      <c r="C48" s="7"/>
      <c r="D48" s="40"/>
      <c r="E48" s="40"/>
      <c r="F48" s="7"/>
      <c r="G48" s="40"/>
      <c r="H48" s="40"/>
      <c r="I48" s="20" t="str">
        <f>IF(AND(G48="",H48=""),"",IF(COUNT(G48:H48)&lt;2,"Eksik giriş",ROUND(G48*H48,2)))</f>
      </c>
      <c r="J48" s="40"/>
      <c r="K48" s="40"/>
      <c r="L48" s="20" t="str">
        <f>IF(AND(J48="",K48=""),"",IF(COUNT(J48:K48)&lt;2,"Eksik giriş",ROUND(J48*K48,2)))</f>
      </c>
      <c r="M48" s="40"/>
      <c r="N48" s="40"/>
      <c r="O48" s="20" t="str">
        <f>IF(AND(M48="",N48=""),"",IF(COUNT(M48:N48)&lt;2,"Eksik giriş",ROUND(M48*N48,2)))</f>
      </c>
      <c r="P48" s="2"/>
      <c r="Q48" s="20" t="str">
        <f>IF(AND(COUNTA($A48:$F48)=0,COUNT($G48:$P48)=0),"",SUMIFS($G48:$P48,$G$4:$P$4,"Miktar"))</f>
      </c>
      <c r="R48" s="20" t="str">
        <f>IF($E48="","",$E48-Q48)</f>
      </c>
      <c r="S48" s="39" t="str">
        <f>IF(AND(COUNTA($A48:$F48)=0,COUNT($G48:$P48)=0),"",IF(OR($A48="",$B48="",$C48="",$F48=""),"Tanım eksik",IF(COUNT($D48:$E48)&lt;2,"Metraj eksik",IF(COUNTIFS($G48:$P48,"Eksik giriş")&gt;0,"Fiyat / miktar eksik",IF(MIN($D48:$P48)&lt;0,"Negatif giriş",IF($E48&gt;$D48,"Kümülatif &gt; toplam",IF(Q48&gt;$E48,"Verilen &gt; kümülatif","Uygun")))))))</f>
      </c>
    </row>
    <row r="49" ht="24" customHeight="1">
      <c r="A49" s="7"/>
      <c r="B49" s="7"/>
      <c r="C49" s="7"/>
      <c r="D49" s="40"/>
      <c r="E49" s="40"/>
      <c r="F49" s="7"/>
      <c r="G49" s="40"/>
      <c r="H49" s="40"/>
      <c r="I49" s="20" t="str">
        <f>IF(AND(G49="",H49=""),"",IF(COUNT(G49:H49)&lt;2,"Eksik giriş",ROUND(G49*H49,2)))</f>
      </c>
      <c r="J49" s="40"/>
      <c r="K49" s="40"/>
      <c r="L49" s="20" t="str">
        <f>IF(AND(J49="",K49=""),"",IF(COUNT(J49:K49)&lt;2,"Eksik giriş",ROUND(J49*K49,2)))</f>
      </c>
      <c r="M49" s="40"/>
      <c r="N49" s="40"/>
      <c r="O49" s="20" t="str">
        <f>IF(AND(M49="",N49=""),"",IF(COUNT(M49:N49)&lt;2,"Eksik giriş",ROUND(M49*N49,2)))</f>
      </c>
      <c r="P49" s="2"/>
      <c r="Q49" s="20" t="str">
        <f>IF(AND(COUNTA($A49:$F49)=0,COUNT($G49:$P49)=0),"",SUMIFS($G49:$P49,$G$4:$P$4,"Miktar"))</f>
      </c>
      <c r="R49" s="20" t="str">
        <f>IF($E49="","",$E49-Q49)</f>
      </c>
      <c r="S49" s="39" t="str">
        <f>IF(AND(COUNTA($A49:$F49)=0,COUNT($G49:$P49)=0),"",IF(OR($A49="",$B49="",$C49="",$F49=""),"Tanım eksik",IF(COUNT($D49:$E49)&lt;2,"Metraj eksik",IF(COUNTIFS($G49:$P49,"Eksik giriş")&gt;0,"Fiyat / miktar eksik",IF(MIN($D49:$P49)&lt;0,"Negatif giriş",IF($E49&gt;$D49,"Kümülatif &gt; toplam",IF(Q49&gt;$E49,"Verilen &gt; kümülatif","Uygun")))))))</f>
      </c>
    </row>
    <row r="50" ht="24" customHeight="1">
      <c r="A50" s="7"/>
      <c r="B50" s="7"/>
      <c r="C50" s="7"/>
      <c r="D50" s="40"/>
      <c r="E50" s="40"/>
      <c r="F50" s="7"/>
      <c r="G50" s="40"/>
      <c r="H50" s="40"/>
      <c r="I50" s="20" t="str">
        <f>IF(AND(G50="",H50=""),"",IF(COUNT(G50:H50)&lt;2,"Eksik giriş",ROUND(G50*H50,2)))</f>
      </c>
      <c r="J50" s="40"/>
      <c r="K50" s="40"/>
      <c r="L50" s="20" t="str">
        <f>IF(AND(J50="",K50=""),"",IF(COUNT(J50:K50)&lt;2,"Eksik giriş",ROUND(J50*K50,2)))</f>
      </c>
      <c r="M50" s="40"/>
      <c r="N50" s="40"/>
      <c r="O50" s="20" t="str">
        <f>IF(AND(M50="",N50=""),"",IF(COUNT(M50:N50)&lt;2,"Eksik giriş",ROUND(M50*N50,2)))</f>
      </c>
      <c r="P50" s="2"/>
      <c r="Q50" s="20" t="str">
        <f>IF(AND(COUNTA($A50:$F50)=0,COUNT($G50:$P50)=0),"",SUMIFS($G50:$P50,$G$4:$P$4,"Miktar"))</f>
      </c>
      <c r="R50" s="20" t="str">
        <f>IF($E50="","",$E50-Q50)</f>
      </c>
      <c r="S50" s="39" t="str">
        <f>IF(AND(COUNTA($A50:$F50)=0,COUNT($G50:$P50)=0),"",IF(OR($A50="",$B50="",$C50="",$F50=""),"Tanım eksik",IF(COUNT($D50:$E50)&lt;2,"Metraj eksik",IF(COUNTIFS($G50:$P50,"Eksik giriş")&gt;0,"Fiyat / miktar eksik",IF(MIN($D50:$P50)&lt;0,"Negatif giriş",IF($E50&gt;$D50,"Kümülatif &gt; toplam",IF(Q50&gt;$E50,"Verilen &gt; kümülatif","Uygun")))))))</f>
      </c>
    </row>
    <row r="51" ht="24" customHeight="1">
      <c r="A51" s="7"/>
      <c r="B51" s="7"/>
      <c r="C51" s="7"/>
      <c r="D51" s="40"/>
      <c r="E51" s="40"/>
      <c r="F51" s="7"/>
      <c r="G51" s="40"/>
      <c r="H51" s="40"/>
      <c r="I51" s="20" t="str">
        <f>IF(AND(G51="",H51=""),"",IF(COUNT(G51:H51)&lt;2,"Eksik giriş",ROUND(G51*H51,2)))</f>
      </c>
      <c r="J51" s="40"/>
      <c r="K51" s="40"/>
      <c r="L51" s="20" t="str">
        <f>IF(AND(J51="",K51=""),"",IF(COUNT(J51:K51)&lt;2,"Eksik giriş",ROUND(J51*K51,2)))</f>
      </c>
      <c r="M51" s="40"/>
      <c r="N51" s="40"/>
      <c r="O51" s="20" t="str">
        <f>IF(AND(M51="",N51=""),"",IF(COUNT(M51:N51)&lt;2,"Eksik giriş",ROUND(M51*N51,2)))</f>
      </c>
      <c r="P51" s="2"/>
      <c r="Q51" s="20" t="str">
        <f>IF(AND(COUNTA($A51:$F51)=0,COUNT($G51:$P51)=0),"",SUMIFS($G51:$P51,$G$4:$P$4,"Miktar"))</f>
      </c>
      <c r="R51" s="20" t="str">
        <f>IF($E51="","",$E51-Q51)</f>
      </c>
      <c r="S51" s="39" t="str">
        <f>IF(AND(COUNTA($A51:$F51)=0,COUNT($G51:$P51)=0),"",IF(OR($A51="",$B51="",$C51="",$F51=""),"Tanım eksik",IF(COUNT($D51:$E51)&lt;2,"Metraj eksik",IF(COUNTIFS($G51:$P51,"Eksik giriş")&gt;0,"Fiyat / miktar eksik",IF(MIN($D51:$P51)&lt;0,"Negatif giriş",IF($E51&gt;$D51,"Kümülatif &gt; toplam",IF(Q51&gt;$E51,"Verilen &gt; kümülatif","Uygun")))))))</f>
      </c>
    </row>
    <row r="52" ht="24" customHeight="1">
      <c r="A52" s="7"/>
      <c r="B52" s="7"/>
      <c r="C52" s="7"/>
      <c r="D52" s="40"/>
      <c r="E52" s="40"/>
      <c r="F52" s="7"/>
      <c r="G52" s="40"/>
      <c r="H52" s="40"/>
      <c r="I52" s="20" t="str">
        <f>IF(AND(G52="",H52=""),"",IF(COUNT(G52:H52)&lt;2,"Eksik giriş",ROUND(G52*H52,2)))</f>
      </c>
      <c r="J52" s="40"/>
      <c r="K52" s="40"/>
      <c r="L52" s="20" t="str">
        <f>IF(AND(J52="",K52=""),"",IF(COUNT(J52:K52)&lt;2,"Eksik giriş",ROUND(J52*K52,2)))</f>
      </c>
      <c r="M52" s="40"/>
      <c r="N52" s="40"/>
      <c r="O52" s="20" t="str">
        <f>IF(AND(M52="",N52=""),"",IF(COUNT(M52:N52)&lt;2,"Eksik giriş",ROUND(M52*N52,2)))</f>
      </c>
      <c r="P52" s="2"/>
      <c r="Q52" s="20" t="str">
        <f>IF(AND(COUNTA($A52:$F52)=0,COUNT($G52:$P52)=0),"",SUMIFS($G52:$P52,$G$4:$P$4,"Miktar"))</f>
      </c>
      <c r="R52" s="20" t="str">
        <f>IF($E52="","",$E52-Q52)</f>
      </c>
      <c r="S52" s="39" t="str">
        <f>IF(AND(COUNTA($A52:$F52)=0,COUNT($G52:$P52)=0),"",IF(OR($A52="",$B52="",$C52="",$F52=""),"Tanım eksik",IF(COUNT($D52:$E52)&lt;2,"Metraj eksik",IF(COUNTIFS($G52:$P52,"Eksik giriş")&gt;0,"Fiyat / miktar eksik",IF(MIN($D52:$P52)&lt;0,"Negatif giriş",IF($E52&gt;$D52,"Kümülatif &gt; toplam",IF(Q52&gt;$E52,"Verilen &gt; kümülatif","Uygun")))))))</f>
      </c>
    </row>
    <row r="53" ht="24" customHeight="1">
      <c r="A53" s="7"/>
      <c r="B53" s="7"/>
      <c r="C53" s="7"/>
      <c r="D53" s="40"/>
      <c r="E53" s="40"/>
      <c r="F53" s="7"/>
      <c r="G53" s="40"/>
      <c r="H53" s="40"/>
      <c r="I53" s="20" t="str">
        <f>IF(AND(G53="",H53=""),"",IF(COUNT(G53:H53)&lt;2,"Eksik giriş",ROUND(G53*H53,2)))</f>
      </c>
      <c r="J53" s="40"/>
      <c r="K53" s="40"/>
      <c r="L53" s="20" t="str">
        <f>IF(AND(J53="",K53=""),"",IF(COUNT(J53:K53)&lt;2,"Eksik giriş",ROUND(J53*K53,2)))</f>
      </c>
      <c r="M53" s="40"/>
      <c r="N53" s="40"/>
      <c r="O53" s="20" t="str">
        <f>IF(AND(M53="",N53=""),"",IF(COUNT(M53:N53)&lt;2,"Eksik giriş",ROUND(M53*N53,2)))</f>
      </c>
      <c r="P53" s="2"/>
      <c r="Q53" s="20" t="str">
        <f>IF(AND(COUNTA($A53:$F53)=0,COUNT($G53:$P53)=0),"",SUMIFS($G53:$P53,$G$4:$P$4,"Miktar"))</f>
      </c>
      <c r="R53" s="20" t="str">
        <f>IF($E53="","",$E53-Q53)</f>
      </c>
      <c r="S53" s="39" t="str">
        <f>IF(AND(COUNTA($A53:$F53)=0,COUNT($G53:$P53)=0),"",IF(OR($A53="",$B53="",$C53="",$F53=""),"Tanım eksik",IF(COUNT($D53:$E53)&lt;2,"Metraj eksik",IF(COUNTIFS($G53:$P53,"Eksik giriş")&gt;0,"Fiyat / miktar eksik",IF(MIN($D53:$P53)&lt;0,"Negatif giriş",IF($E53&gt;$D53,"Kümülatif &gt; toplam",IF(Q53&gt;$E53,"Verilen &gt; kümülatif","Uygun")))))))</f>
      </c>
    </row>
    <row r="54" ht="24" customHeight="1">
      <c r="A54" s="7"/>
      <c r="B54" s="7"/>
      <c r="C54" s="7"/>
      <c r="D54" s="40"/>
      <c r="E54" s="40"/>
      <c r="F54" s="7"/>
      <c r="G54" s="40"/>
      <c r="H54" s="40"/>
      <c r="I54" s="20" t="str">
        <f>IF(AND(G54="",H54=""),"",IF(COUNT(G54:H54)&lt;2,"Eksik giriş",ROUND(G54*H54,2)))</f>
      </c>
      <c r="J54" s="40"/>
      <c r="K54" s="40"/>
      <c r="L54" s="20" t="str">
        <f>IF(AND(J54="",K54=""),"",IF(COUNT(J54:K54)&lt;2,"Eksik giriş",ROUND(J54*K54,2)))</f>
      </c>
      <c r="M54" s="40"/>
      <c r="N54" s="40"/>
      <c r="O54" s="20" t="str">
        <f>IF(AND(M54="",N54=""),"",IF(COUNT(M54:N54)&lt;2,"Eksik giriş",ROUND(M54*N54,2)))</f>
      </c>
      <c r="P54" s="2"/>
      <c r="Q54" s="20" t="str">
        <f>IF(AND(COUNTA($A54:$F54)=0,COUNT($G54:$P54)=0),"",SUMIFS($G54:$P54,$G$4:$P$4,"Miktar"))</f>
      </c>
      <c r="R54" s="20" t="str">
        <f>IF($E54="","",$E54-Q54)</f>
      </c>
      <c r="S54" s="39" t="str">
        <f>IF(AND(COUNTA($A54:$F54)=0,COUNT($G54:$P54)=0),"",IF(OR($A54="",$B54="",$C54="",$F54=""),"Tanım eksik",IF(COUNT($D54:$E54)&lt;2,"Metraj eksik",IF(COUNTIFS($G54:$P54,"Eksik giriş")&gt;0,"Fiyat / miktar eksik",IF(MIN($D54:$P54)&lt;0,"Negatif giriş",IF($E54&gt;$D54,"Kümülatif &gt; toplam",IF(Q54&gt;$E54,"Verilen &gt; kümülatif","Uygun")))))))</f>
      </c>
    </row>
    <row r="55" ht="24" customHeight="1">
      <c r="A55" s="7"/>
      <c r="B55" s="7"/>
      <c r="C55" s="7"/>
      <c r="D55" s="40"/>
      <c r="E55" s="40"/>
      <c r="F55" s="7"/>
      <c r="G55" s="40"/>
      <c r="H55" s="40"/>
      <c r="I55" s="20" t="str">
        <f>IF(AND(G55="",H55=""),"",IF(COUNT(G55:H55)&lt;2,"Eksik giriş",ROUND(G55*H55,2)))</f>
      </c>
      <c r="J55" s="40"/>
      <c r="K55" s="40"/>
      <c r="L55" s="20" t="str">
        <f>IF(AND(J55="",K55=""),"",IF(COUNT(J55:K55)&lt;2,"Eksik giriş",ROUND(J55*K55,2)))</f>
      </c>
      <c r="M55" s="40"/>
      <c r="N55" s="40"/>
      <c r="O55" s="20" t="str">
        <f>IF(AND(M55="",N55=""),"",IF(COUNT(M55:N55)&lt;2,"Eksik giriş",ROUND(M55*N55,2)))</f>
      </c>
      <c r="P55" s="2"/>
      <c r="Q55" s="20" t="str">
        <f>IF(AND(COUNTA($A55:$F55)=0,COUNT($G55:$P55)=0),"",SUMIFS($G55:$P55,$G$4:$P$4,"Miktar"))</f>
      </c>
      <c r="R55" s="20" t="str">
        <f>IF($E55="","",$E55-Q55)</f>
      </c>
      <c r="S55" s="39" t="str">
        <f>IF(AND(COUNTA($A55:$F55)=0,COUNT($G55:$P55)=0),"",IF(OR($A55="",$B55="",$C55="",$F55=""),"Tanım eksik",IF(COUNT($D55:$E55)&lt;2,"Metraj eksik",IF(COUNTIFS($G55:$P55,"Eksik giriş")&gt;0,"Fiyat / miktar eksik",IF(MIN($D55:$P55)&lt;0,"Negatif giriş",IF($E55&gt;$D55,"Kümülatif &gt; toplam",IF(Q55&gt;$E55,"Verilen &gt; kümülatif","Uygun")))))))</f>
      </c>
    </row>
    <row r="56" ht="24" customHeight="1">
      <c r="A56" s="7"/>
      <c r="B56" s="7"/>
      <c r="C56" s="7"/>
      <c r="D56" s="40"/>
      <c r="E56" s="40"/>
      <c r="F56" s="7"/>
      <c r="G56" s="40"/>
      <c r="H56" s="40"/>
      <c r="I56" s="20" t="str">
        <f>IF(AND(G56="",H56=""),"",IF(COUNT(G56:H56)&lt;2,"Eksik giriş",ROUND(G56*H56,2)))</f>
      </c>
      <c r="J56" s="40"/>
      <c r="K56" s="40"/>
      <c r="L56" s="20" t="str">
        <f>IF(AND(J56="",K56=""),"",IF(COUNT(J56:K56)&lt;2,"Eksik giriş",ROUND(J56*K56,2)))</f>
      </c>
      <c r="M56" s="40"/>
      <c r="N56" s="40"/>
      <c r="O56" s="20" t="str">
        <f>IF(AND(M56="",N56=""),"",IF(COUNT(M56:N56)&lt;2,"Eksik giriş",ROUND(M56*N56,2)))</f>
      </c>
      <c r="P56" s="2"/>
      <c r="Q56" s="20" t="str">
        <f>IF(AND(COUNTA($A56:$F56)=0,COUNT($G56:$P56)=0),"",SUMIFS($G56:$P56,$G$4:$P$4,"Miktar"))</f>
      </c>
      <c r="R56" s="20" t="str">
        <f>IF($E56="","",$E56-Q56)</f>
      </c>
      <c r="S56" s="39" t="str">
        <f>IF(AND(COUNTA($A56:$F56)=0,COUNT($G56:$P56)=0),"",IF(OR($A56="",$B56="",$C56="",$F56=""),"Tanım eksik",IF(COUNT($D56:$E56)&lt;2,"Metraj eksik",IF(COUNTIFS($G56:$P56,"Eksik giriş")&gt;0,"Fiyat / miktar eksik",IF(MIN($D56:$P56)&lt;0,"Negatif giriş",IF($E56&gt;$D56,"Kümülatif &gt; toplam",IF(Q56&gt;$E56,"Verilen &gt; kümülatif","Uygun")))))))</f>
      </c>
    </row>
    <row r="57" ht="24" customHeight="1">
      <c r="A57" s="7"/>
      <c r="B57" s="7"/>
      <c r="C57" s="7"/>
      <c r="D57" s="40"/>
      <c r="E57" s="40"/>
      <c r="F57" s="7"/>
      <c r="G57" s="40"/>
      <c r="H57" s="40"/>
      <c r="I57" s="20" t="str">
        <f>IF(AND(G57="",H57=""),"",IF(COUNT(G57:H57)&lt;2,"Eksik giriş",ROUND(G57*H57,2)))</f>
      </c>
      <c r="J57" s="40"/>
      <c r="K57" s="40"/>
      <c r="L57" s="20" t="str">
        <f>IF(AND(J57="",K57=""),"",IF(COUNT(J57:K57)&lt;2,"Eksik giriş",ROUND(J57*K57,2)))</f>
      </c>
      <c r="M57" s="40"/>
      <c r="N57" s="40"/>
      <c r="O57" s="20" t="str">
        <f>IF(AND(M57="",N57=""),"",IF(COUNT(M57:N57)&lt;2,"Eksik giriş",ROUND(M57*N57,2)))</f>
      </c>
      <c r="P57" s="2"/>
      <c r="Q57" s="20" t="str">
        <f>IF(AND(COUNTA($A57:$F57)=0,COUNT($G57:$P57)=0),"",SUMIFS($G57:$P57,$G$4:$P$4,"Miktar"))</f>
      </c>
      <c r="R57" s="20" t="str">
        <f>IF($E57="","",$E57-Q57)</f>
      </c>
      <c r="S57" s="39" t="str">
        <f>IF(AND(COUNTA($A57:$F57)=0,COUNT($G57:$P57)=0),"",IF(OR($A57="",$B57="",$C57="",$F57=""),"Tanım eksik",IF(COUNT($D57:$E57)&lt;2,"Metraj eksik",IF(COUNTIFS($G57:$P57,"Eksik giriş")&gt;0,"Fiyat / miktar eksik",IF(MIN($D57:$P57)&lt;0,"Negatif giriş",IF($E57&gt;$D57,"Kümülatif &gt; toplam",IF(Q57&gt;$E57,"Verilen &gt; kümülatif","Uygun")))))))</f>
      </c>
    </row>
    <row r="58" ht="24" customHeight="1">
      <c r="A58" s="7"/>
      <c r="B58" s="7"/>
      <c r="C58" s="7"/>
      <c r="D58" s="40"/>
      <c r="E58" s="40"/>
      <c r="F58" s="7"/>
      <c r="G58" s="40"/>
      <c r="H58" s="40"/>
      <c r="I58" s="20" t="str">
        <f>IF(AND(G58="",H58=""),"",IF(COUNT(G58:H58)&lt;2,"Eksik giriş",ROUND(G58*H58,2)))</f>
      </c>
      <c r="J58" s="40"/>
      <c r="K58" s="40"/>
      <c r="L58" s="20" t="str">
        <f>IF(AND(J58="",K58=""),"",IF(COUNT(J58:K58)&lt;2,"Eksik giriş",ROUND(J58*K58,2)))</f>
      </c>
      <c r="M58" s="40"/>
      <c r="N58" s="40"/>
      <c r="O58" s="20" t="str">
        <f>IF(AND(M58="",N58=""),"",IF(COUNT(M58:N58)&lt;2,"Eksik giriş",ROUND(M58*N58,2)))</f>
      </c>
      <c r="P58" s="2"/>
      <c r="Q58" s="20" t="str">
        <f>IF(AND(COUNTA($A58:$F58)=0,COUNT($G58:$P58)=0),"",SUMIFS($G58:$P58,$G$4:$P$4,"Miktar"))</f>
      </c>
      <c r="R58" s="20" t="str">
        <f>IF($E58="","",$E58-Q58)</f>
      </c>
      <c r="S58" s="39" t="str">
        <f>IF(AND(COUNTA($A58:$F58)=0,COUNT($G58:$P58)=0),"",IF(OR($A58="",$B58="",$C58="",$F58=""),"Tanım eksik",IF(COUNT($D58:$E58)&lt;2,"Metraj eksik",IF(COUNTIFS($G58:$P58,"Eksik giriş")&gt;0,"Fiyat / miktar eksik",IF(MIN($D58:$P58)&lt;0,"Negatif giriş",IF($E58&gt;$D58,"Kümülatif &gt; toplam",IF(Q58&gt;$E58,"Verilen &gt; kümülatif","Uygun")))))))</f>
      </c>
    </row>
    <row r="59" ht="24" customHeight="1">
      <c r="A59" s="7"/>
      <c r="B59" s="7"/>
      <c r="C59" s="7"/>
      <c r="D59" s="40"/>
      <c r="E59" s="40"/>
      <c r="F59" s="7"/>
      <c r="G59" s="40"/>
      <c r="H59" s="40"/>
      <c r="I59" s="20" t="str">
        <f>IF(AND(G59="",H59=""),"",IF(COUNT(G59:H59)&lt;2,"Eksik giriş",ROUND(G59*H59,2)))</f>
      </c>
      <c r="J59" s="40"/>
      <c r="K59" s="40"/>
      <c r="L59" s="20" t="str">
        <f>IF(AND(J59="",K59=""),"",IF(COUNT(J59:K59)&lt;2,"Eksik giriş",ROUND(J59*K59,2)))</f>
      </c>
      <c r="M59" s="40"/>
      <c r="N59" s="40"/>
      <c r="O59" s="20" t="str">
        <f>IF(AND(M59="",N59=""),"",IF(COUNT(M59:N59)&lt;2,"Eksik giriş",ROUND(M59*N59,2)))</f>
      </c>
      <c r="P59" s="2"/>
      <c r="Q59" s="20" t="str">
        <f>IF(AND(COUNTA($A59:$F59)=0,COUNT($G59:$P59)=0),"",SUMIFS($G59:$P59,$G$4:$P$4,"Miktar"))</f>
      </c>
      <c r="R59" s="20" t="str">
        <f>IF($E59="","",$E59-Q59)</f>
      </c>
      <c r="S59" s="39" t="str">
        <f>IF(AND(COUNTA($A59:$F59)=0,COUNT($G59:$P59)=0),"",IF(OR($A59="",$B59="",$C59="",$F59=""),"Tanım eksik",IF(COUNT($D59:$E59)&lt;2,"Metraj eksik",IF(COUNTIFS($G59:$P59,"Eksik giriş")&gt;0,"Fiyat / miktar eksik",IF(MIN($D59:$P59)&lt;0,"Negatif giriş",IF($E59&gt;$D59,"Kümülatif &gt; toplam",IF(Q59&gt;$E59,"Verilen &gt; kümülatif","Uygun")))))))</f>
      </c>
    </row>
    <row r="60" ht="24" customHeight="1">
      <c r="A60" s="7"/>
      <c r="B60" s="7"/>
      <c r="C60" s="7"/>
      <c r="D60" s="40"/>
      <c r="E60" s="40"/>
      <c r="F60" s="7"/>
      <c r="G60" s="40"/>
      <c r="H60" s="40"/>
      <c r="I60" s="20" t="str">
        <f>IF(AND(G60="",H60=""),"",IF(COUNT(G60:H60)&lt;2,"Eksik giriş",ROUND(G60*H60,2)))</f>
      </c>
      <c r="J60" s="40"/>
      <c r="K60" s="40"/>
      <c r="L60" s="20" t="str">
        <f>IF(AND(J60="",K60=""),"",IF(COUNT(J60:K60)&lt;2,"Eksik giriş",ROUND(J60*K60,2)))</f>
      </c>
      <c r="M60" s="40"/>
      <c r="N60" s="40"/>
      <c r="O60" s="20" t="str">
        <f>IF(AND(M60="",N60=""),"",IF(COUNT(M60:N60)&lt;2,"Eksik giriş",ROUND(M60*N60,2)))</f>
      </c>
      <c r="P60" s="2"/>
      <c r="Q60" s="20" t="str">
        <f>IF(AND(COUNTA($A60:$F60)=0,COUNT($G60:$P60)=0),"",SUMIFS($G60:$P60,$G$4:$P$4,"Miktar"))</f>
      </c>
      <c r="R60" s="20" t="str">
        <f>IF($E60="","",$E60-Q60)</f>
      </c>
      <c r="S60" s="39" t="str">
        <f>IF(AND(COUNTA($A60:$F60)=0,COUNT($G60:$P60)=0),"",IF(OR($A60="",$B60="",$C60="",$F60=""),"Tanım eksik",IF(COUNT($D60:$E60)&lt;2,"Metraj eksik",IF(COUNTIFS($G60:$P60,"Eksik giriş")&gt;0,"Fiyat / miktar eksik",IF(MIN($D60:$P60)&lt;0,"Negatif giriş",IF($E60&gt;$D60,"Kümülatif &gt; toplam",IF(Q60&gt;$E60,"Verilen &gt; kümülatif","Uygun")))))))</f>
      </c>
    </row>
    <row r="61" ht="24" customHeight="1">
      <c r="A61" s="7"/>
      <c r="B61" s="7"/>
      <c r="C61" s="7"/>
      <c r="D61" s="40"/>
      <c r="E61" s="40"/>
      <c r="F61" s="7"/>
      <c r="G61" s="40"/>
      <c r="H61" s="40"/>
      <c r="I61" s="20" t="str">
        <f>IF(AND(G61="",H61=""),"",IF(COUNT(G61:H61)&lt;2,"Eksik giriş",ROUND(G61*H61,2)))</f>
      </c>
      <c r="J61" s="40"/>
      <c r="K61" s="40"/>
      <c r="L61" s="20" t="str">
        <f>IF(AND(J61="",K61=""),"",IF(COUNT(J61:K61)&lt;2,"Eksik giriş",ROUND(J61*K61,2)))</f>
      </c>
      <c r="M61" s="40"/>
      <c r="N61" s="40"/>
      <c r="O61" s="20" t="str">
        <f>IF(AND(M61="",N61=""),"",IF(COUNT(M61:N61)&lt;2,"Eksik giriş",ROUND(M61*N61,2)))</f>
      </c>
      <c r="P61" s="2"/>
      <c r="Q61" s="20" t="str">
        <f>IF(AND(COUNTA($A61:$F61)=0,COUNT($G61:$P61)=0),"",SUMIFS($G61:$P61,$G$4:$P$4,"Miktar"))</f>
      </c>
      <c r="R61" s="20" t="str">
        <f>IF($E61="","",$E61-Q61)</f>
      </c>
      <c r="S61" s="39" t="str">
        <f>IF(AND(COUNTA($A61:$F61)=0,COUNT($G61:$P61)=0),"",IF(OR($A61="",$B61="",$C61="",$F61=""),"Tanım eksik",IF(COUNT($D61:$E61)&lt;2,"Metraj eksik",IF(COUNTIFS($G61:$P61,"Eksik giriş")&gt;0,"Fiyat / miktar eksik",IF(MIN($D61:$P61)&lt;0,"Negatif giriş",IF($E61&gt;$D61,"Kümülatif &gt; toplam",IF(Q61&gt;$E61,"Verilen &gt; kümülatif","Uygun")))))))</f>
      </c>
    </row>
    <row r="62" ht="24" customHeight="1">
      <c r="A62" s="7"/>
      <c r="B62" s="7"/>
      <c r="C62" s="7"/>
      <c r="D62" s="40"/>
      <c r="E62" s="40"/>
      <c r="F62" s="7"/>
      <c r="G62" s="40"/>
      <c r="H62" s="40"/>
      <c r="I62" s="20" t="str">
        <f>IF(AND(G62="",H62=""),"",IF(COUNT(G62:H62)&lt;2,"Eksik giriş",ROUND(G62*H62,2)))</f>
      </c>
      <c r="J62" s="40"/>
      <c r="K62" s="40"/>
      <c r="L62" s="20" t="str">
        <f>IF(AND(J62="",K62=""),"",IF(COUNT(J62:K62)&lt;2,"Eksik giriş",ROUND(J62*K62,2)))</f>
      </c>
      <c r="M62" s="40"/>
      <c r="N62" s="40"/>
      <c r="O62" s="20" t="str">
        <f>IF(AND(M62="",N62=""),"",IF(COUNT(M62:N62)&lt;2,"Eksik giriş",ROUND(M62*N62,2)))</f>
      </c>
      <c r="P62" s="2"/>
      <c r="Q62" s="20" t="str">
        <f>IF(AND(COUNTA($A62:$F62)=0,COUNT($G62:$P62)=0),"",SUMIFS($G62:$P62,$G$4:$P$4,"Miktar"))</f>
      </c>
      <c r="R62" s="20" t="str">
        <f>IF($E62="","",$E62-Q62)</f>
      </c>
      <c r="S62" s="39" t="str">
        <f>IF(AND(COUNTA($A62:$F62)=0,COUNT($G62:$P62)=0),"",IF(OR($A62="",$B62="",$C62="",$F62=""),"Tanım eksik",IF(COUNT($D62:$E62)&lt;2,"Metraj eksik",IF(COUNTIFS($G62:$P62,"Eksik giriş")&gt;0,"Fiyat / miktar eksik",IF(MIN($D62:$P62)&lt;0,"Negatif giriş",IF($E62&gt;$D62,"Kümülatif &gt; toplam",IF(Q62&gt;$E62,"Verilen &gt; kümülatif","Uygun")))))))</f>
      </c>
    </row>
    <row r="63" ht="24" customHeight="1">
      <c r="A63" s="7"/>
      <c r="B63" s="7"/>
      <c r="C63" s="7"/>
      <c r="D63" s="40"/>
      <c r="E63" s="40"/>
      <c r="F63" s="7"/>
      <c r="G63" s="40"/>
      <c r="H63" s="40"/>
      <c r="I63" s="20" t="str">
        <f>IF(AND(G63="",H63=""),"",IF(COUNT(G63:H63)&lt;2,"Eksik giriş",ROUND(G63*H63,2)))</f>
      </c>
      <c r="J63" s="40"/>
      <c r="K63" s="40"/>
      <c r="L63" s="20" t="str">
        <f>IF(AND(J63="",K63=""),"",IF(COUNT(J63:K63)&lt;2,"Eksik giriş",ROUND(J63*K63,2)))</f>
      </c>
      <c r="M63" s="40"/>
      <c r="N63" s="40"/>
      <c r="O63" s="20" t="str">
        <f>IF(AND(M63="",N63=""),"",IF(COUNT(M63:N63)&lt;2,"Eksik giriş",ROUND(M63*N63,2)))</f>
      </c>
      <c r="P63" s="2"/>
      <c r="Q63" s="20" t="str">
        <f>IF(AND(COUNTA($A63:$F63)=0,COUNT($G63:$P63)=0),"",SUMIFS($G63:$P63,$G$4:$P$4,"Miktar"))</f>
      </c>
      <c r="R63" s="20" t="str">
        <f>IF($E63="","",$E63-Q63)</f>
      </c>
      <c r="S63" s="39" t="str">
        <f>IF(AND(COUNTA($A63:$F63)=0,COUNT($G63:$P63)=0),"",IF(OR($A63="",$B63="",$C63="",$F63=""),"Tanım eksik",IF(COUNT($D63:$E63)&lt;2,"Metraj eksik",IF(COUNTIFS($G63:$P63,"Eksik giriş")&gt;0,"Fiyat / miktar eksik",IF(MIN($D63:$P63)&lt;0,"Negatif giriş",IF($E63&gt;$D63,"Kümülatif &gt; toplam",IF(Q63&gt;$E63,"Verilen &gt; kümülatif","Uygun")))))))</f>
      </c>
    </row>
    <row r="64" ht="24" customHeight="1">
      <c r="A64" s="7"/>
      <c r="B64" s="7"/>
      <c r="C64" s="7"/>
      <c r="D64" s="40"/>
      <c r="E64" s="40"/>
      <c r="F64" s="7"/>
      <c r="G64" s="40"/>
      <c r="H64" s="40"/>
      <c r="I64" s="20" t="str">
        <f>IF(AND(G64="",H64=""),"",IF(COUNT(G64:H64)&lt;2,"Eksik giriş",ROUND(G64*H64,2)))</f>
      </c>
      <c r="J64" s="40"/>
      <c r="K64" s="40"/>
      <c r="L64" s="20" t="str">
        <f>IF(AND(J64="",K64=""),"",IF(COUNT(J64:K64)&lt;2,"Eksik giriş",ROUND(J64*K64,2)))</f>
      </c>
      <c r="M64" s="40"/>
      <c r="N64" s="40"/>
      <c r="O64" s="20" t="str">
        <f>IF(AND(M64="",N64=""),"",IF(COUNT(M64:N64)&lt;2,"Eksik giriş",ROUND(M64*N64,2)))</f>
      </c>
      <c r="P64" s="2"/>
      <c r="Q64" s="20" t="str">
        <f>IF(AND(COUNTA($A64:$F64)=0,COUNT($G64:$P64)=0),"",SUMIFS($G64:$P64,$G$4:$P$4,"Miktar"))</f>
      </c>
      <c r="R64" s="20" t="str">
        <f>IF($E64="","",$E64-Q64)</f>
      </c>
      <c r="S64" s="39" t="str">
        <f>IF(AND(COUNTA($A64:$F64)=0,COUNT($G64:$P64)=0),"",IF(OR($A64="",$B64="",$C64="",$F64=""),"Tanım eksik",IF(COUNT($D64:$E64)&lt;2,"Metraj eksik",IF(COUNTIFS($G64:$P64,"Eksik giriş")&gt;0,"Fiyat / miktar eksik",IF(MIN($D64:$P64)&lt;0,"Negatif giriş",IF($E64&gt;$D64,"Kümülatif &gt; toplam",IF(Q64&gt;$E64,"Verilen &gt; kümülatif","Uygun")))))))</f>
      </c>
    </row>
    <row r="65" ht="24" customHeight="1">
      <c r="A65" s="7"/>
      <c r="B65" s="7"/>
      <c r="C65" s="7"/>
      <c r="D65" s="40"/>
      <c r="E65" s="40"/>
      <c r="F65" s="7"/>
      <c r="G65" s="40"/>
      <c r="H65" s="40"/>
      <c r="I65" s="20" t="str">
        <f>IF(AND(G65="",H65=""),"",IF(COUNT(G65:H65)&lt;2,"Eksik giriş",ROUND(G65*H65,2)))</f>
      </c>
      <c r="J65" s="40"/>
      <c r="K65" s="40"/>
      <c r="L65" s="20" t="str">
        <f>IF(AND(J65="",K65=""),"",IF(COUNT(J65:K65)&lt;2,"Eksik giriş",ROUND(J65*K65,2)))</f>
      </c>
      <c r="M65" s="40"/>
      <c r="N65" s="40"/>
      <c r="O65" s="20" t="str">
        <f>IF(AND(M65="",N65=""),"",IF(COUNT(M65:N65)&lt;2,"Eksik giriş",ROUND(M65*N65,2)))</f>
      </c>
      <c r="P65" s="2"/>
      <c r="Q65" s="20" t="str">
        <f>IF(AND(COUNTA($A65:$F65)=0,COUNT($G65:$P65)=0),"",SUMIFS($G65:$P65,$G$4:$P$4,"Miktar"))</f>
      </c>
      <c r="R65" s="20" t="str">
        <f>IF($E65="","",$E65-Q65)</f>
      </c>
      <c r="S65" s="39" t="str">
        <f>IF(AND(COUNTA($A65:$F65)=0,COUNT($G65:$P65)=0),"",IF(OR($A65="",$B65="",$C65="",$F65=""),"Tanım eksik",IF(COUNT($D65:$E65)&lt;2,"Metraj eksik",IF(COUNTIFS($G65:$P65,"Eksik giriş")&gt;0,"Fiyat / miktar eksik",IF(MIN($D65:$P65)&lt;0,"Negatif giriş",IF($E65&gt;$D65,"Kümülatif &gt; toplam",IF(Q65&gt;$E65,"Verilen &gt; kümülatif","Uygun")))))))</f>
      </c>
    </row>
    <row r="66" ht="24" customHeight="1">
      <c r="A66" s="7"/>
      <c r="B66" s="7"/>
      <c r="C66" s="7"/>
      <c r="D66" s="40"/>
      <c r="E66" s="40"/>
      <c r="F66" s="7"/>
      <c r="G66" s="40"/>
      <c r="H66" s="40"/>
      <c r="I66" s="20" t="str">
        <f>IF(AND(G66="",H66=""),"",IF(COUNT(G66:H66)&lt;2,"Eksik giriş",ROUND(G66*H66,2)))</f>
      </c>
      <c r="J66" s="40"/>
      <c r="K66" s="40"/>
      <c r="L66" s="20" t="str">
        <f>IF(AND(J66="",K66=""),"",IF(COUNT(J66:K66)&lt;2,"Eksik giriş",ROUND(J66*K66,2)))</f>
      </c>
      <c r="M66" s="40"/>
      <c r="N66" s="40"/>
      <c r="O66" s="20" t="str">
        <f>IF(AND(M66="",N66=""),"",IF(COUNT(M66:N66)&lt;2,"Eksik giriş",ROUND(M66*N66,2)))</f>
      </c>
      <c r="P66" s="2"/>
      <c r="Q66" s="20" t="str">
        <f>IF(AND(COUNTA($A66:$F66)=0,COUNT($G66:$P66)=0),"",SUMIFS($G66:$P66,$G$4:$P$4,"Miktar"))</f>
      </c>
      <c r="R66" s="20" t="str">
        <f>IF($E66="","",$E66-Q66)</f>
      </c>
      <c r="S66" s="39" t="str">
        <f>IF(AND(COUNTA($A66:$F66)=0,COUNT($G66:$P66)=0),"",IF(OR($A66="",$B66="",$C66="",$F66=""),"Tanım eksik",IF(COUNT($D66:$E66)&lt;2,"Metraj eksik",IF(COUNTIFS($G66:$P66,"Eksik giriş")&gt;0,"Fiyat / miktar eksik",IF(MIN($D66:$P66)&lt;0,"Negatif giriş",IF($E66&gt;$D66,"Kümülatif &gt; toplam",IF(Q66&gt;$E66,"Verilen &gt; kümülatif","Uygun")))))))</f>
      </c>
    </row>
    <row r="67" ht="24" customHeight="1">
      <c r="A67" s="7"/>
      <c r="B67" s="7"/>
      <c r="C67" s="7"/>
      <c r="D67" s="40"/>
      <c r="E67" s="40"/>
      <c r="F67" s="7"/>
      <c r="G67" s="40"/>
      <c r="H67" s="40"/>
      <c r="I67" s="20" t="str">
        <f>IF(AND(G67="",H67=""),"",IF(COUNT(G67:H67)&lt;2,"Eksik giriş",ROUND(G67*H67,2)))</f>
      </c>
      <c r="J67" s="40"/>
      <c r="K67" s="40"/>
      <c r="L67" s="20" t="str">
        <f>IF(AND(J67="",K67=""),"",IF(COUNT(J67:K67)&lt;2,"Eksik giriş",ROUND(J67*K67,2)))</f>
      </c>
      <c r="M67" s="40"/>
      <c r="N67" s="40"/>
      <c r="O67" s="20" t="str">
        <f>IF(AND(M67="",N67=""),"",IF(COUNT(M67:N67)&lt;2,"Eksik giriş",ROUND(M67*N67,2)))</f>
      </c>
      <c r="P67" s="2"/>
      <c r="Q67" s="20" t="str">
        <f>IF(AND(COUNTA($A67:$F67)=0,COUNT($G67:$P67)=0),"",SUMIFS($G67:$P67,$G$4:$P$4,"Miktar"))</f>
      </c>
      <c r="R67" s="20" t="str">
        <f>IF($E67="","",$E67-Q67)</f>
      </c>
      <c r="S67" s="39" t="str">
        <f>IF(AND(COUNTA($A67:$F67)=0,COUNT($G67:$P67)=0),"",IF(OR($A67="",$B67="",$C67="",$F67=""),"Tanım eksik",IF(COUNT($D67:$E67)&lt;2,"Metraj eksik",IF(COUNTIFS($G67:$P67,"Eksik giriş")&gt;0,"Fiyat / miktar eksik",IF(MIN($D67:$P67)&lt;0,"Negatif giriş",IF($E67&gt;$D67,"Kümülatif &gt; toplam",IF(Q67&gt;$E67,"Verilen &gt; kümülatif","Uygun")))))))</f>
      </c>
    </row>
    <row r="68" ht="24" customHeight="1">
      <c r="A68" s="7"/>
      <c r="B68" s="7"/>
      <c r="C68" s="7"/>
      <c r="D68" s="40"/>
      <c r="E68" s="40"/>
      <c r="F68" s="7"/>
      <c r="G68" s="40"/>
      <c r="H68" s="40"/>
      <c r="I68" s="20" t="str">
        <f>IF(AND(G68="",H68=""),"",IF(COUNT(G68:H68)&lt;2,"Eksik giriş",ROUND(G68*H68,2)))</f>
      </c>
      <c r="J68" s="40"/>
      <c r="K68" s="40"/>
      <c r="L68" s="20" t="str">
        <f>IF(AND(J68="",K68=""),"",IF(COUNT(J68:K68)&lt;2,"Eksik giriş",ROUND(J68*K68,2)))</f>
      </c>
      <c r="M68" s="40"/>
      <c r="N68" s="40"/>
      <c r="O68" s="20" t="str">
        <f>IF(AND(M68="",N68=""),"",IF(COUNT(M68:N68)&lt;2,"Eksik giriş",ROUND(M68*N68,2)))</f>
      </c>
      <c r="P68" s="2"/>
      <c r="Q68" s="20" t="str">
        <f>IF(AND(COUNTA($A68:$F68)=0,COUNT($G68:$P68)=0),"",SUMIFS($G68:$P68,$G$4:$P$4,"Miktar"))</f>
      </c>
      <c r="R68" s="20" t="str">
        <f>IF($E68="","",$E68-Q68)</f>
      </c>
      <c r="S68" s="39" t="str">
        <f>IF(AND(COUNTA($A68:$F68)=0,COUNT($G68:$P68)=0),"",IF(OR($A68="",$B68="",$C68="",$F68=""),"Tanım eksik",IF(COUNT($D68:$E68)&lt;2,"Metraj eksik",IF(COUNTIFS($G68:$P68,"Eksik giriş")&gt;0,"Fiyat / miktar eksik",IF(MIN($D68:$P68)&lt;0,"Negatif giriş",IF($E68&gt;$D68,"Kümülatif &gt; toplam",IF(Q68&gt;$E68,"Verilen &gt; kümülatif","Uygun")))))))</f>
      </c>
    </row>
    <row r="69" ht="24" customHeight="1">
      <c r="A69" s="7"/>
      <c r="B69" s="7"/>
      <c r="C69" s="7"/>
      <c r="D69" s="40"/>
      <c r="E69" s="40"/>
      <c r="F69" s="7"/>
      <c r="G69" s="40"/>
      <c r="H69" s="40"/>
      <c r="I69" s="20" t="str">
        <f>IF(AND(G69="",H69=""),"",IF(COUNT(G69:H69)&lt;2,"Eksik giriş",ROUND(G69*H69,2)))</f>
      </c>
      <c r="J69" s="40"/>
      <c r="K69" s="40"/>
      <c r="L69" s="20" t="str">
        <f>IF(AND(J69="",K69=""),"",IF(COUNT(J69:K69)&lt;2,"Eksik giriş",ROUND(J69*K69,2)))</f>
      </c>
      <c r="M69" s="40"/>
      <c r="N69" s="40"/>
      <c r="O69" s="20" t="str">
        <f>IF(AND(M69="",N69=""),"",IF(COUNT(M69:N69)&lt;2,"Eksik giriş",ROUND(M69*N69,2)))</f>
      </c>
      <c r="P69" s="2"/>
      <c r="Q69" s="20" t="str">
        <f>IF(AND(COUNTA($A69:$F69)=0,COUNT($G69:$P69)=0),"",SUMIFS($G69:$P69,$G$4:$P$4,"Miktar"))</f>
      </c>
      <c r="R69" s="20" t="str">
        <f>IF($E69="","",$E69-Q69)</f>
      </c>
      <c r="S69" s="39" t="str">
        <f>IF(AND(COUNTA($A69:$F69)=0,COUNT($G69:$P69)=0),"",IF(OR($A69="",$B69="",$C69="",$F69=""),"Tanım eksik",IF(COUNT($D69:$E69)&lt;2,"Metraj eksik",IF(COUNTIFS($G69:$P69,"Eksik giriş")&gt;0,"Fiyat / miktar eksik",IF(MIN($D69:$P69)&lt;0,"Negatif giriş",IF($E69&gt;$D69,"Kümülatif &gt; toplam",IF(Q69&gt;$E69,"Verilen &gt; kümülatif","Uygun")))))))</f>
      </c>
    </row>
    <row r="70" ht="24" customHeight="1">
      <c r="A70" s="7"/>
      <c r="B70" s="7"/>
      <c r="C70" s="7"/>
      <c r="D70" s="40"/>
      <c r="E70" s="40"/>
      <c r="F70" s="7"/>
      <c r="G70" s="40"/>
      <c r="H70" s="40"/>
      <c r="I70" s="20" t="str">
        <f>IF(AND(G70="",H70=""),"",IF(COUNT(G70:H70)&lt;2,"Eksik giriş",ROUND(G70*H70,2)))</f>
      </c>
      <c r="J70" s="40"/>
      <c r="K70" s="40"/>
      <c r="L70" s="20" t="str">
        <f>IF(AND(J70="",K70=""),"",IF(COUNT(J70:K70)&lt;2,"Eksik giriş",ROUND(J70*K70,2)))</f>
      </c>
      <c r="M70" s="40"/>
      <c r="N70" s="40"/>
      <c r="O70" s="20" t="str">
        <f>IF(AND(M70="",N70=""),"",IF(COUNT(M70:N70)&lt;2,"Eksik giriş",ROUND(M70*N70,2)))</f>
      </c>
      <c r="P70" s="2"/>
      <c r="Q70" s="20" t="str">
        <f>IF(AND(COUNTA($A70:$F70)=0,COUNT($G70:$P70)=0),"",SUMIFS($G70:$P70,$G$4:$P$4,"Miktar"))</f>
      </c>
      <c r="R70" s="20" t="str">
        <f>IF($E70="","",$E70-Q70)</f>
      </c>
      <c r="S70" s="39" t="str">
        <f>IF(AND(COUNTA($A70:$F70)=0,COUNT($G70:$P70)=0),"",IF(OR($A70="",$B70="",$C70="",$F70=""),"Tanım eksik",IF(COUNT($D70:$E70)&lt;2,"Metraj eksik",IF(COUNTIFS($G70:$P70,"Eksik giriş")&gt;0,"Fiyat / miktar eksik",IF(MIN($D70:$P70)&lt;0,"Negatif giriş",IF($E70&gt;$D70,"Kümülatif &gt; toplam",IF(Q70&gt;$E70,"Verilen &gt; kümülatif","Uygun")))))))</f>
      </c>
    </row>
    <row r="71" ht="24" customHeight="1">
      <c r="A71" s="7"/>
      <c r="B71" s="7"/>
      <c r="C71" s="7"/>
      <c r="D71" s="40"/>
      <c r="E71" s="40"/>
      <c r="F71" s="7"/>
      <c r="G71" s="40"/>
      <c r="H71" s="40"/>
      <c r="I71" s="20" t="str">
        <f>IF(AND(G71="",H71=""),"",IF(COUNT(G71:H71)&lt;2,"Eksik giriş",ROUND(G71*H71,2)))</f>
      </c>
      <c r="J71" s="40"/>
      <c r="K71" s="40"/>
      <c r="L71" s="20" t="str">
        <f>IF(AND(J71="",K71=""),"",IF(COUNT(J71:K71)&lt;2,"Eksik giriş",ROUND(J71*K71,2)))</f>
      </c>
      <c r="M71" s="40"/>
      <c r="N71" s="40"/>
      <c r="O71" s="20" t="str">
        <f>IF(AND(M71="",N71=""),"",IF(COUNT(M71:N71)&lt;2,"Eksik giriş",ROUND(M71*N71,2)))</f>
      </c>
      <c r="P71" s="2"/>
      <c r="Q71" s="20" t="str">
        <f>IF(AND(COUNTA($A71:$F71)=0,COUNT($G71:$P71)=0),"",SUMIFS($G71:$P71,$G$4:$P$4,"Miktar"))</f>
      </c>
      <c r="R71" s="20" t="str">
        <f>IF($E71="","",$E71-Q71)</f>
      </c>
      <c r="S71" s="39" t="str">
        <f>IF(AND(COUNTA($A71:$F71)=0,COUNT($G71:$P71)=0),"",IF(OR($A71="",$B71="",$C71="",$F71=""),"Tanım eksik",IF(COUNT($D71:$E71)&lt;2,"Metraj eksik",IF(COUNTIFS($G71:$P71,"Eksik giriş")&gt;0,"Fiyat / miktar eksik",IF(MIN($D71:$P71)&lt;0,"Negatif giriş",IF($E71&gt;$D71,"Kümülatif &gt; toplam",IF(Q71&gt;$E71,"Verilen &gt; kümülatif","Uygun")))))))</f>
      </c>
    </row>
    <row r="72" ht="24" customHeight="1">
      <c r="A72" s="7"/>
      <c r="B72" s="7"/>
      <c r="C72" s="7"/>
      <c r="D72" s="40"/>
      <c r="E72" s="40"/>
      <c r="F72" s="7"/>
      <c r="G72" s="40"/>
      <c r="H72" s="40"/>
      <c r="I72" s="20" t="str">
        <f>IF(AND(G72="",H72=""),"",IF(COUNT(G72:H72)&lt;2,"Eksik giriş",ROUND(G72*H72,2)))</f>
      </c>
      <c r="J72" s="40"/>
      <c r="K72" s="40"/>
      <c r="L72" s="20" t="str">
        <f>IF(AND(J72="",K72=""),"",IF(COUNT(J72:K72)&lt;2,"Eksik giriş",ROUND(J72*K72,2)))</f>
      </c>
      <c r="M72" s="40"/>
      <c r="N72" s="40"/>
      <c r="O72" s="20" t="str">
        <f>IF(AND(M72="",N72=""),"",IF(COUNT(M72:N72)&lt;2,"Eksik giriş",ROUND(M72*N72,2)))</f>
      </c>
      <c r="P72" s="2"/>
      <c r="Q72" s="20" t="str">
        <f>IF(AND(COUNTA($A72:$F72)=0,COUNT($G72:$P72)=0),"",SUMIFS($G72:$P72,$G$4:$P$4,"Miktar"))</f>
      </c>
      <c r="R72" s="20" t="str">
        <f>IF($E72="","",$E72-Q72)</f>
      </c>
      <c r="S72" s="39" t="str">
        <f>IF(AND(COUNTA($A72:$F72)=0,COUNT($G72:$P72)=0),"",IF(OR($A72="",$B72="",$C72="",$F72=""),"Tanım eksik",IF(COUNT($D72:$E72)&lt;2,"Metraj eksik",IF(COUNTIFS($G72:$P72,"Eksik giriş")&gt;0,"Fiyat / miktar eksik",IF(MIN($D72:$P72)&lt;0,"Negatif giriş",IF($E72&gt;$D72,"Kümülatif &gt; toplam",IF(Q72&gt;$E72,"Verilen &gt; kümülatif","Uygun")))))))</f>
      </c>
    </row>
    <row r="73" ht="24" customHeight="1">
      <c r="A73" s="7"/>
      <c r="B73" s="7"/>
      <c r="C73" s="7"/>
      <c r="D73" s="40"/>
      <c r="E73" s="40"/>
      <c r="F73" s="7"/>
      <c r="G73" s="40"/>
      <c r="H73" s="40"/>
      <c r="I73" s="20" t="str">
        <f>IF(AND(G73="",H73=""),"",IF(COUNT(G73:H73)&lt;2,"Eksik giriş",ROUND(G73*H73,2)))</f>
      </c>
      <c r="J73" s="40"/>
      <c r="K73" s="40"/>
      <c r="L73" s="20" t="str">
        <f>IF(AND(J73="",K73=""),"",IF(COUNT(J73:K73)&lt;2,"Eksik giriş",ROUND(J73*K73,2)))</f>
      </c>
      <c r="M73" s="40"/>
      <c r="N73" s="40"/>
      <c r="O73" s="20" t="str">
        <f>IF(AND(M73="",N73=""),"",IF(COUNT(M73:N73)&lt;2,"Eksik giriş",ROUND(M73*N73,2)))</f>
      </c>
      <c r="P73" s="2"/>
      <c r="Q73" s="20" t="str">
        <f>IF(AND(COUNTA($A73:$F73)=0,COUNT($G73:$P73)=0),"",SUMIFS($G73:$P73,$G$4:$P$4,"Miktar"))</f>
      </c>
      <c r="R73" s="20" t="str">
        <f>IF($E73="","",$E73-Q73)</f>
      </c>
      <c r="S73" s="39" t="str">
        <f>IF(AND(COUNTA($A73:$F73)=0,COUNT($G73:$P73)=0),"",IF(OR($A73="",$B73="",$C73="",$F73=""),"Tanım eksik",IF(COUNT($D73:$E73)&lt;2,"Metraj eksik",IF(COUNTIFS($G73:$P73,"Eksik giriş")&gt;0,"Fiyat / miktar eksik",IF(MIN($D73:$P73)&lt;0,"Negatif giriş",IF($E73&gt;$D73,"Kümülatif &gt; toplam",IF(Q73&gt;$E73,"Verilen &gt; kümülatif","Uygun")))))))</f>
      </c>
    </row>
    <row r="74" ht="24" customHeight="1">
      <c r="A74" s="7"/>
      <c r="B74" s="7"/>
      <c r="C74" s="7"/>
      <c r="D74" s="40"/>
      <c r="E74" s="40"/>
      <c r="F74" s="7"/>
      <c r="G74" s="40"/>
      <c r="H74" s="40"/>
      <c r="I74" s="20" t="str">
        <f>IF(AND(G74="",H74=""),"",IF(COUNT(G74:H74)&lt;2,"Eksik giriş",ROUND(G74*H74,2)))</f>
      </c>
      <c r="J74" s="40"/>
      <c r="K74" s="40"/>
      <c r="L74" s="20" t="str">
        <f>IF(AND(J74="",K74=""),"",IF(COUNT(J74:K74)&lt;2,"Eksik giriş",ROUND(J74*K74,2)))</f>
      </c>
      <c r="M74" s="40"/>
      <c r="N74" s="40"/>
      <c r="O74" s="20" t="str">
        <f>IF(AND(M74="",N74=""),"",IF(COUNT(M74:N74)&lt;2,"Eksik giriş",ROUND(M74*N74,2)))</f>
      </c>
      <c r="P74" s="2"/>
      <c r="Q74" s="20" t="str">
        <f>IF(AND(COUNTA($A74:$F74)=0,COUNT($G74:$P74)=0),"",SUMIFS($G74:$P74,$G$4:$P$4,"Miktar"))</f>
      </c>
      <c r="R74" s="20" t="str">
        <f>IF($E74="","",$E74-Q74)</f>
      </c>
      <c r="S74" s="39" t="str">
        <f>IF(AND(COUNTA($A74:$F74)=0,COUNT($G74:$P74)=0),"",IF(OR($A74="",$B74="",$C74="",$F74=""),"Tanım eksik",IF(COUNT($D74:$E74)&lt;2,"Metraj eksik",IF(COUNTIFS($G74:$P74,"Eksik giriş")&gt;0,"Fiyat / miktar eksik",IF(MIN($D74:$P74)&lt;0,"Negatif giriş",IF($E74&gt;$D74,"Kümülatif &gt; toplam",IF(Q74&gt;$E74,"Verilen &gt; kümülatif","Uygun")))))))</f>
      </c>
    </row>
    <row r="75" ht="24" customHeight="1">
      <c r="A75" s="7"/>
      <c r="B75" s="7"/>
      <c r="C75" s="7"/>
      <c r="D75" s="40"/>
      <c r="E75" s="40"/>
      <c r="F75" s="7"/>
      <c r="G75" s="40"/>
      <c r="H75" s="40"/>
      <c r="I75" s="20" t="str">
        <f>IF(AND(G75="",H75=""),"",IF(COUNT(G75:H75)&lt;2,"Eksik giriş",ROUND(G75*H75,2)))</f>
      </c>
      <c r="J75" s="40"/>
      <c r="K75" s="40"/>
      <c r="L75" s="20" t="str">
        <f>IF(AND(J75="",K75=""),"",IF(COUNT(J75:K75)&lt;2,"Eksik giriş",ROUND(J75*K75,2)))</f>
      </c>
      <c r="M75" s="40"/>
      <c r="N75" s="40"/>
      <c r="O75" s="20" t="str">
        <f>IF(AND(M75="",N75=""),"",IF(COUNT(M75:N75)&lt;2,"Eksik giriş",ROUND(M75*N75,2)))</f>
      </c>
      <c r="P75" s="2"/>
      <c r="Q75" s="20" t="str">
        <f>IF(AND(COUNTA($A75:$F75)=0,COUNT($G75:$P75)=0),"",SUMIFS($G75:$P75,$G$4:$P$4,"Miktar"))</f>
      </c>
      <c r="R75" s="20" t="str">
        <f>IF($E75="","",$E75-Q75)</f>
      </c>
      <c r="S75" s="39" t="str">
        <f>IF(AND(COUNTA($A75:$F75)=0,COUNT($G75:$P75)=0),"",IF(OR($A75="",$B75="",$C75="",$F75=""),"Tanım eksik",IF(COUNT($D75:$E75)&lt;2,"Metraj eksik",IF(COUNTIFS($G75:$P75,"Eksik giriş")&gt;0,"Fiyat / miktar eksik",IF(MIN($D75:$P75)&lt;0,"Negatif giriş",IF($E75&gt;$D75,"Kümülatif &gt; toplam",IF(Q75&gt;$E75,"Verilen &gt; kümülatif","Uygun")))))))</f>
      </c>
    </row>
    <row r="76" ht="24" customHeight="1">
      <c r="A76" s="7"/>
      <c r="B76" s="7"/>
      <c r="C76" s="7"/>
      <c r="D76" s="40"/>
      <c r="E76" s="40"/>
      <c r="F76" s="7"/>
      <c r="G76" s="40"/>
      <c r="H76" s="40"/>
      <c r="I76" s="20" t="str">
        <f>IF(AND(G76="",H76=""),"",IF(COUNT(G76:H76)&lt;2,"Eksik giriş",ROUND(G76*H76,2)))</f>
      </c>
      <c r="J76" s="40"/>
      <c r="K76" s="40"/>
      <c r="L76" s="20" t="str">
        <f>IF(AND(J76="",K76=""),"",IF(COUNT(J76:K76)&lt;2,"Eksik giriş",ROUND(J76*K76,2)))</f>
      </c>
      <c r="M76" s="40"/>
      <c r="N76" s="40"/>
      <c r="O76" s="20" t="str">
        <f>IF(AND(M76="",N76=""),"",IF(COUNT(M76:N76)&lt;2,"Eksik giriş",ROUND(M76*N76,2)))</f>
      </c>
      <c r="P76" s="2"/>
      <c r="Q76" s="20" t="str">
        <f>IF(AND(COUNTA($A76:$F76)=0,COUNT($G76:$P76)=0),"",SUMIFS($G76:$P76,$G$4:$P$4,"Miktar"))</f>
      </c>
      <c r="R76" s="20" t="str">
        <f>IF($E76="","",$E76-Q76)</f>
      </c>
      <c r="S76" s="39" t="str">
        <f>IF(AND(COUNTA($A76:$F76)=0,COUNT($G76:$P76)=0),"",IF(OR($A76="",$B76="",$C76="",$F76=""),"Tanım eksik",IF(COUNT($D76:$E76)&lt;2,"Metraj eksik",IF(COUNTIFS($G76:$P76,"Eksik giriş")&gt;0,"Fiyat / miktar eksik",IF(MIN($D76:$P76)&lt;0,"Negatif giriş",IF($E76&gt;$D76,"Kümülatif &gt; toplam",IF(Q76&gt;$E76,"Verilen &gt; kümülatif","Uygun")))))))</f>
      </c>
    </row>
    <row r="77" ht="24" customHeight="1">
      <c r="A77" s="7"/>
      <c r="B77" s="7"/>
      <c r="C77" s="7"/>
      <c r="D77" s="40"/>
      <c r="E77" s="40"/>
      <c r="F77" s="7"/>
      <c r="G77" s="40"/>
      <c r="H77" s="40"/>
      <c r="I77" s="20" t="str">
        <f>IF(AND(G77="",H77=""),"",IF(COUNT(G77:H77)&lt;2,"Eksik giriş",ROUND(G77*H77,2)))</f>
      </c>
      <c r="J77" s="40"/>
      <c r="K77" s="40"/>
      <c r="L77" s="20" t="str">
        <f>IF(AND(J77="",K77=""),"",IF(COUNT(J77:K77)&lt;2,"Eksik giriş",ROUND(J77*K77,2)))</f>
      </c>
      <c r="M77" s="40"/>
      <c r="N77" s="40"/>
      <c r="O77" s="20" t="str">
        <f>IF(AND(M77="",N77=""),"",IF(COUNT(M77:N77)&lt;2,"Eksik giriş",ROUND(M77*N77,2)))</f>
      </c>
      <c r="P77" s="2"/>
      <c r="Q77" s="20" t="str">
        <f>IF(AND(COUNTA($A77:$F77)=0,COUNT($G77:$P77)=0),"",SUMIFS($G77:$P77,$G$4:$P$4,"Miktar"))</f>
      </c>
      <c r="R77" s="20" t="str">
        <f>IF($E77="","",$E77-Q77)</f>
      </c>
      <c r="S77" s="39" t="str">
        <f>IF(AND(COUNTA($A77:$F77)=0,COUNT($G77:$P77)=0),"",IF(OR($A77="",$B77="",$C77="",$F77=""),"Tanım eksik",IF(COUNT($D77:$E77)&lt;2,"Metraj eksik",IF(COUNTIFS($G77:$P77,"Eksik giriş")&gt;0,"Fiyat / miktar eksik",IF(MIN($D77:$P77)&lt;0,"Negatif giriş",IF($E77&gt;$D77,"Kümülatif &gt; toplam",IF(Q77&gt;$E77,"Verilen &gt; kümülatif","Uygun")))))))</f>
      </c>
    </row>
    <row r="78" ht="24" customHeight="1">
      <c r="A78" s="7"/>
      <c r="B78" s="7"/>
      <c r="C78" s="7"/>
      <c r="D78" s="40"/>
      <c r="E78" s="40"/>
      <c r="F78" s="7"/>
      <c r="G78" s="40"/>
      <c r="H78" s="40"/>
      <c r="I78" s="20" t="str">
        <f>IF(AND(G78="",H78=""),"",IF(COUNT(G78:H78)&lt;2,"Eksik giriş",ROUND(G78*H78,2)))</f>
      </c>
      <c r="J78" s="40"/>
      <c r="K78" s="40"/>
      <c r="L78" s="20" t="str">
        <f>IF(AND(J78="",K78=""),"",IF(COUNT(J78:K78)&lt;2,"Eksik giriş",ROUND(J78*K78,2)))</f>
      </c>
      <c r="M78" s="40"/>
      <c r="N78" s="40"/>
      <c r="O78" s="20" t="str">
        <f>IF(AND(M78="",N78=""),"",IF(COUNT(M78:N78)&lt;2,"Eksik giriş",ROUND(M78*N78,2)))</f>
      </c>
      <c r="P78" s="2"/>
      <c r="Q78" s="20" t="str">
        <f>IF(AND(COUNTA($A78:$F78)=0,COUNT($G78:$P78)=0),"",SUMIFS($G78:$P78,$G$4:$P$4,"Miktar"))</f>
      </c>
      <c r="R78" s="20" t="str">
        <f>IF($E78="","",$E78-Q78)</f>
      </c>
      <c r="S78" s="39" t="str">
        <f>IF(AND(COUNTA($A78:$F78)=0,COUNT($G78:$P78)=0),"",IF(OR($A78="",$B78="",$C78="",$F78=""),"Tanım eksik",IF(COUNT($D78:$E78)&lt;2,"Metraj eksik",IF(COUNTIFS($G78:$P78,"Eksik giriş")&gt;0,"Fiyat / miktar eksik",IF(MIN($D78:$P78)&lt;0,"Negatif giriş",IF($E78&gt;$D78,"Kümülatif &gt; toplam",IF(Q78&gt;$E78,"Verilen &gt; kümülatif","Uygun")))))))</f>
      </c>
    </row>
    <row r="79" ht="24" customHeight="1">
      <c r="A79" s="7"/>
      <c r="B79" s="7"/>
      <c r="C79" s="7"/>
      <c r="D79" s="40"/>
      <c r="E79" s="40"/>
      <c r="F79" s="7"/>
      <c r="G79" s="40"/>
      <c r="H79" s="40"/>
      <c r="I79" s="20" t="str">
        <f>IF(AND(G79="",H79=""),"",IF(COUNT(G79:H79)&lt;2,"Eksik giriş",ROUND(G79*H79,2)))</f>
      </c>
      <c r="J79" s="40"/>
      <c r="K79" s="40"/>
      <c r="L79" s="20" t="str">
        <f>IF(AND(J79="",K79=""),"",IF(COUNT(J79:K79)&lt;2,"Eksik giriş",ROUND(J79*K79,2)))</f>
      </c>
      <c r="M79" s="40"/>
      <c r="N79" s="40"/>
      <c r="O79" s="20" t="str">
        <f>IF(AND(M79="",N79=""),"",IF(COUNT(M79:N79)&lt;2,"Eksik giriş",ROUND(M79*N79,2)))</f>
      </c>
      <c r="P79" s="2"/>
      <c r="Q79" s="20" t="str">
        <f>IF(AND(COUNTA($A79:$F79)=0,COUNT($G79:$P79)=0),"",SUMIFS($G79:$P79,$G$4:$P$4,"Miktar"))</f>
      </c>
      <c r="R79" s="20" t="str">
        <f>IF($E79="","",$E79-Q79)</f>
      </c>
      <c r="S79" s="39" t="str">
        <f>IF(AND(COUNTA($A79:$F79)=0,COUNT($G79:$P79)=0),"",IF(OR($A79="",$B79="",$C79="",$F79=""),"Tanım eksik",IF(COUNT($D79:$E79)&lt;2,"Metraj eksik",IF(COUNTIFS($G79:$P79,"Eksik giriş")&gt;0,"Fiyat / miktar eksik",IF(MIN($D79:$P79)&lt;0,"Negatif giriş",IF($E79&gt;$D79,"Kümülatif &gt; toplam",IF(Q79&gt;$E79,"Verilen &gt; kümülatif","Uygun")))))))</f>
      </c>
    </row>
    <row r="80" ht="24" customHeight="1">
      <c r="A80" s="7"/>
      <c r="B80" s="7"/>
      <c r="C80" s="7"/>
      <c r="D80" s="40"/>
      <c r="E80" s="40"/>
      <c r="F80" s="7"/>
      <c r="G80" s="40"/>
      <c r="H80" s="40"/>
      <c r="I80" s="20" t="str">
        <f>IF(AND(G80="",H80=""),"",IF(COUNT(G80:H80)&lt;2,"Eksik giriş",ROUND(G80*H80,2)))</f>
      </c>
      <c r="J80" s="40"/>
      <c r="K80" s="40"/>
      <c r="L80" s="20" t="str">
        <f>IF(AND(J80="",K80=""),"",IF(COUNT(J80:K80)&lt;2,"Eksik giriş",ROUND(J80*K80,2)))</f>
      </c>
      <c r="M80" s="40"/>
      <c r="N80" s="40"/>
      <c r="O80" s="20" t="str">
        <f>IF(AND(M80="",N80=""),"",IF(COUNT(M80:N80)&lt;2,"Eksik giriş",ROUND(M80*N80,2)))</f>
      </c>
      <c r="P80" s="2"/>
      <c r="Q80" s="20" t="str">
        <f>IF(AND(COUNTA($A80:$F80)=0,COUNT($G80:$P80)=0),"",SUMIFS($G80:$P80,$G$4:$P$4,"Miktar"))</f>
      </c>
      <c r="R80" s="20" t="str">
        <f>IF($E80="","",$E80-Q80)</f>
      </c>
      <c r="S80" s="39" t="str">
        <f>IF(AND(COUNTA($A80:$F80)=0,COUNT($G80:$P80)=0),"",IF(OR($A80="",$B80="",$C80="",$F80=""),"Tanım eksik",IF(COUNT($D80:$E80)&lt;2,"Metraj eksik",IF(COUNTIFS($G80:$P80,"Eksik giriş")&gt;0,"Fiyat / miktar eksik",IF(MIN($D80:$P80)&lt;0,"Negatif giriş",IF($E80&gt;$D80,"Kümülatif &gt; toplam",IF(Q80&gt;$E80,"Verilen &gt; kümülatif","Uygun")))))))</f>
      </c>
    </row>
    <row r="81" ht="24" customHeight="1">
      <c r="A81" s="7"/>
      <c r="B81" s="7"/>
      <c r="C81" s="7"/>
      <c r="D81" s="40"/>
      <c r="E81" s="40"/>
      <c r="F81" s="7"/>
      <c r="G81" s="40"/>
      <c r="H81" s="40"/>
      <c r="I81" s="20" t="str">
        <f>IF(AND(G81="",H81=""),"",IF(COUNT(G81:H81)&lt;2,"Eksik giriş",ROUND(G81*H81,2)))</f>
      </c>
      <c r="J81" s="40"/>
      <c r="K81" s="40"/>
      <c r="L81" s="20" t="str">
        <f>IF(AND(J81="",K81=""),"",IF(COUNT(J81:K81)&lt;2,"Eksik giriş",ROUND(J81*K81,2)))</f>
      </c>
      <c r="M81" s="40"/>
      <c r="N81" s="40"/>
      <c r="O81" s="20" t="str">
        <f>IF(AND(M81="",N81=""),"",IF(COUNT(M81:N81)&lt;2,"Eksik giriş",ROUND(M81*N81,2)))</f>
      </c>
      <c r="P81" s="2"/>
      <c r="Q81" s="20" t="str">
        <f>IF(AND(COUNTA($A81:$F81)=0,COUNT($G81:$P81)=0),"",SUMIFS($G81:$P81,$G$4:$P$4,"Miktar"))</f>
      </c>
      <c r="R81" s="20" t="str">
        <f>IF($E81="","",$E81-Q81)</f>
      </c>
      <c r="S81" s="39" t="str">
        <f>IF(AND(COUNTA($A81:$F81)=0,COUNT($G81:$P81)=0),"",IF(OR($A81="",$B81="",$C81="",$F81=""),"Tanım eksik",IF(COUNT($D81:$E81)&lt;2,"Metraj eksik",IF(COUNTIFS($G81:$P81,"Eksik giriş")&gt;0,"Fiyat / miktar eksik",IF(MIN($D81:$P81)&lt;0,"Negatif giriş",IF($E81&gt;$D81,"Kümülatif &gt; toplam",IF(Q81&gt;$E81,"Verilen &gt; kümülatif","Uygun")))))))</f>
      </c>
    </row>
    <row r="82" ht="24" customHeight="1">
      <c r="A82" s="7"/>
      <c r="B82" s="7"/>
      <c r="C82" s="7"/>
      <c r="D82" s="40"/>
      <c r="E82" s="40"/>
      <c r="F82" s="7"/>
      <c r="G82" s="40"/>
      <c r="H82" s="40"/>
      <c r="I82" s="20" t="str">
        <f>IF(AND(G82="",H82=""),"",IF(COUNT(G82:H82)&lt;2,"Eksik giriş",ROUND(G82*H82,2)))</f>
      </c>
      <c r="J82" s="40"/>
      <c r="K82" s="40"/>
      <c r="L82" s="20" t="str">
        <f>IF(AND(J82="",K82=""),"",IF(COUNT(J82:K82)&lt;2,"Eksik giriş",ROUND(J82*K82,2)))</f>
      </c>
      <c r="M82" s="40"/>
      <c r="N82" s="40"/>
      <c r="O82" s="20" t="str">
        <f>IF(AND(M82="",N82=""),"",IF(COUNT(M82:N82)&lt;2,"Eksik giriş",ROUND(M82*N82,2)))</f>
      </c>
      <c r="P82" s="2"/>
      <c r="Q82" s="20" t="str">
        <f>IF(AND(COUNTA($A82:$F82)=0,COUNT($G82:$P82)=0),"",SUMIFS($G82:$P82,$G$4:$P$4,"Miktar"))</f>
      </c>
      <c r="R82" s="20" t="str">
        <f>IF($E82="","",$E82-Q82)</f>
      </c>
      <c r="S82" s="39" t="str">
        <f>IF(AND(COUNTA($A82:$F82)=0,COUNT($G82:$P82)=0),"",IF(OR($A82="",$B82="",$C82="",$F82=""),"Tanım eksik",IF(COUNT($D82:$E82)&lt;2,"Metraj eksik",IF(COUNTIFS($G82:$P82,"Eksik giriş")&gt;0,"Fiyat / miktar eksik",IF(MIN($D82:$P82)&lt;0,"Negatif giriş",IF($E82&gt;$D82,"Kümülatif &gt; toplam",IF(Q82&gt;$E82,"Verilen &gt; kümülatif","Uygun")))))))</f>
      </c>
    </row>
    <row r="83" ht="24" customHeight="1">
      <c r="A83" s="7"/>
      <c r="B83" s="7"/>
      <c r="C83" s="7"/>
      <c r="D83" s="40"/>
      <c r="E83" s="40"/>
      <c r="F83" s="7"/>
      <c r="G83" s="40"/>
      <c r="H83" s="40"/>
      <c r="I83" s="20" t="str">
        <f>IF(AND(G83="",H83=""),"",IF(COUNT(G83:H83)&lt;2,"Eksik giriş",ROUND(G83*H83,2)))</f>
      </c>
      <c r="J83" s="40"/>
      <c r="K83" s="40"/>
      <c r="L83" s="20" t="str">
        <f>IF(AND(J83="",K83=""),"",IF(COUNT(J83:K83)&lt;2,"Eksik giriş",ROUND(J83*K83,2)))</f>
      </c>
      <c r="M83" s="40"/>
      <c r="N83" s="40"/>
      <c r="O83" s="20" t="str">
        <f>IF(AND(M83="",N83=""),"",IF(COUNT(M83:N83)&lt;2,"Eksik giriş",ROUND(M83*N83,2)))</f>
      </c>
      <c r="P83" s="2"/>
      <c r="Q83" s="20" t="str">
        <f>IF(AND(COUNTA($A83:$F83)=0,COUNT($G83:$P83)=0),"",SUMIFS($G83:$P83,$G$4:$P$4,"Miktar"))</f>
      </c>
      <c r="R83" s="20" t="str">
        <f>IF($E83="","",$E83-Q83)</f>
      </c>
      <c r="S83" s="39" t="str">
        <f>IF(AND(COUNTA($A83:$F83)=0,COUNT($G83:$P83)=0),"",IF(OR($A83="",$B83="",$C83="",$F83=""),"Tanım eksik",IF(COUNT($D83:$E83)&lt;2,"Metraj eksik",IF(COUNTIFS($G83:$P83,"Eksik giriş")&gt;0,"Fiyat / miktar eksik",IF(MIN($D83:$P83)&lt;0,"Negatif giriş",IF($E83&gt;$D83,"Kümülatif &gt; toplam",IF(Q83&gt;$E83,"Verilen &gt; kümülatif","Uygun")))))))</f>
      </c>
    </row>
    <row r="84" ht="24" customHeight="1">
      <c r="A84" s="7"/>
      <c r="B84" s="7"/>
      <c r="C84" s="7"/>
      <c r="D84" s="40"/>
      <c r="E84" s="40"/>
      <c r="F84" s="7"/>
      <c r="G84" s="40"/>
      <c r="H84" s="40"/>
      <c r="I84" s="20" t="str">
        <f>IF(AND(G84="",H84=""),"",IF(COUNT(G84:H84)&lt;2,"Eksik giriş",ROUND(G84*H84,2)))</f>
      </c>
      <c r="J84" s="40"/>
      <c r="K84" s="40"/>
      <c r="L84" s="20" t="str">
        <f>IF(AND(J84="",K84=""),"",IF(COUNT(J84:K84)&lt;2,"Eksik giriş",ROUND(J84*K84,2)))</f>
      </c>
      <c r="M84" s="40"/>
      <c r="N84" s="40"/>
      <c r="O84" s="20" t="str">
        <f>IF(AND(M84="",N84=""),"",IF(COUNT(M84:N84)&lt;2,"Eksik giriş",ROUND(M84*N84,2)))</f>
      </c>
      <c r="P84" s="2"/>
      <c r="Q84" s="20" t="str">
        <f>IF(AND(COUNTA($A84:$F84)=0,COUNT($G84:$P84)=0),"",SUMIFS($G84:$P84,$G$4:$P$4,"Miktar"))</f>
      </c>
      <c r="R84" s="20" t="str">
        <f>IF($E84="","",$E84-Q84)</f>
      </c>
      <c r="S84" s="39" t="str">
        <f>IF(AND(COUNTA($A84:$F84)=0,COUNT($G84:$P84)=0),"",IF(OR($A84="",$B84="",$C84="",$F84=""),"Tanım eksik",IF(COUNT($D84:$E84)&lt;2,"Metraj eksik",IF(COUNTIFS($G84:$P84,"Eksik giriş")&gt;0,"Fiyat / miktar eksik",IF(MIN($D84:$P84)&lt;0,"Negatif giriş",IF($E84&gt;$D84,"Kümülatif &gt; toplam",IF(Q84&gt;$E84,"Verilen &gt; kümülatif","Uygun")))))))</f>
      </c>
    </row>
    <row r="85" ht="24" customHeight="1">
      <c r="A85" s="7"/>
      <c r="B85" s="7"/>
      <c r="C85" s="7"/>
      <c r="D85" s="40"/>
      <c r="E85" s="40"/>
      <c r="F85" s="7"/>
      <c r="G85" s="40"/>
      <c r="H85" s="40"/>
      <c r="I85" s="20" t="str">
        <f>IF(AND(G85="",H85=""),"",IF(COUNT(G85:H85)&lt;2,"Eksik giriş",ROUND(G85*H85,2)))</f>
      </c>
      <c r="J85" s="40"/>
      <c r="K85" s="40"/>
      <c r="L85" s="20" t="str">
        <f>IF(AND(J85="",K85=""),"",IF(COUNT(J85:K85)&lt;2,"Eksik giriş",ROUND(J85*K85,2)))</f>
      </c>
      <c r="M85" s="40"/>
      <c r="N85" s="40"/>
      <c r="O85" s="20" t="str">
        <f>IF(AND(M85="",N85=""),"",IF(COUNT(M85:N85)&lt;2,"Eksik giriş",ROUND(M85*N85,2)))</f>
      </c>
      <c r="P85" s="2"/>
      <c r="Q85" s="20" t="str">
        <f>IF(AND(COUNTA($A85:$F85)=0,COUNT($G85:$P85)=0),"",SUMIFS($G85:$P85,$G$4:$P$4,"Miktar"))</f>
      </c>
      <c r="R85" s="20" t="str">
        <f>IF($E85="","",$E85-Q85)</f>
      </c>
      <c r="S85" s="39" t="str">
        <f>IF(AND(COUNTA($A85:$F85)=0,COUNT($G85:$P85)=0),"",IF(OR($A85="",$B85="",$C85="",$F85=""),"Tanım eksik",IF(COUNT($D85:$E85)&lt;2,"Metraj eksik",IF(COUNTIFS($G85:$P85,"Eksik giriş")&gt;0,"Fiyat / miktar eksik",IF(MIN($D85:$P85)&lt;0,"Negatif giriş",IF($E85&gt;$D85,"Kümülatif &gt; toplam",IF(Q85&gt;$E85,"Verilen &gt; kümülatif","Uygun")))))))</f>
      </c>
    </row>
    <row r="86" ht="24" customHeight="1">
      <c r="A86" s="7"/>
      <c r="B86" s="7"/>
      <c r="C86" s="7"/>
      <c r="D86" s="40"/>
      <c r="E86" s="40"/>
      <c r="F86" s="7"/>
      <c r="G86" s="40"/>
      <c r="H86" s="40"/>
      <c r="I86" s="20" t="str">
        <f>IF(AND(G86="",H86=""),"",IF(COUNT(G86:H86)&lt;2,"Eksik giriş",ROUND(G86*H86,2)))</f>
      </c>
      <c r="J86" s="40"/>
      <c r="K86" s="40"/>
      <c r="L86" s="20" t="str">
        <f>IF(AND(J86="",K86=""),"",IF(COUNT(J86:K86)&lt;2,"Eksik giriş",ROUND(J86*K86,2)))</f>
      </c>
      <c r="M86" s="40"/>
      <c r="N86" s="40"/>
      <c r="O86" s="20" t="str">
        <f>IF(AND(M86="",N86=""),"",IF(COUNT(M86:N86)&lt;2,"Eksik giriş",ROUND(M86*N86,2)))</f>
      </c>
      <c r="P86" s="2"/>
      <c r="Q86" s="20" t="str">
        <f>IF(AND(COUNTA($A86:$F86)=0,COUNT($G86:$P86)=0),"",SUMIFS($G86:$P86,$G$4:$P$4,"Miktar"))</f>
      </c>
      <c r="R86" s="20" t="str">
        <f>IF($E86="","",$E86-Q86)</f>
      </c>
      <c r="S86" s="39" t="str">
        <f>IF(AND(COUNTA($A86:$F86)=0,COUNT($G86:$P86)=0),"",IF(OR($A86="",$B86="",$C86="",$F86=""),"Tanım eksik",IF(COUNT($D86:$E86)&lt;2,"Metraj eksik",IF(COUNTIFS($G86:$P86,"Eksik giriş")&gt;0,"Fiyat / miktar eksik",IF(MIN($D86:$P86)&lt;0,"Negatif giriş",IF($E86&gt;$D86,"Kümülatif &gt; toplam",IF(Q86&gt;$E86,"Verilen &gt; kümülatif","Uygun")))))))</f>
      </c>
    </row>
    <row r="87" ht="24" customHeight="1">
      <c r="A87" s="7"/>
      <c r="B87" s="7"/>
      <c r="C87" s="7"/>
      <c r="D87" s="40"/>
      <c r="E87" s="40"/>
      <c r="F87" s="7"/>
      <c r="G87" s="40"/>
      <c r="H87" s="40"/>
      <c r="I87" s="20" t="str">
        <f>IF(AND(G87="",H87=""),"",IF(COUNT(G87:H87)&lt;2,"Eksik giriş",ROUND(G87*H87,2)))</f>
      </c>
      <c r="J87" s="40"/>
      <c r="K87" s="40"/>
      <c r="L87" s="20" t="str">
        <f>IF(AND(J87="",K87=""),"",IF(COUNT(J87:K87)&lt;2,"Eksik giriş",ROUND(J87*K87,2)))</f>
      </c>
      <c r="M87" s="40"/>
      <c r="N87" s="40"/>
      <c r="O87" s="20" t="str">
        <f>IF(AND(M87="",N87=""),"",IF(COUNT(M87:N87)&lt;2,"Eksik giriş",ROUND(M87*N87,2)))</f>
      </c>
      <c r="P87" s="2"/>
      <c r="Q87" s="20" t="str">
        <f>IF(AND(COUNTA($A87:$F87)=0,COUNT($G87:$P87)=0),"",SUMIFS($G87:$P87,$G$4:$P$4,"Miktar"))</f>
      </c>
      <c r="R87" s="20" t="str">
        <f>IF($E87="","",$E87-Q87)</f>
      </c>
      <c r="S87" s="39" t="str">
        <f>IF(AND(COUNTA($A87:$F87)=0,COUNT($G87:$P87)=0),"",IF(OR($A87="",$B87="",$C87="",$F87=""),"Tanım eksik",IF(COUNT($D87:$E87)&lt;2,"Metraj eksik",IF(COUNTIFS($G87:$P87,"Eksik giriş")&gt;0,"Fiyat / miktar eksik",IF(MIN($D87:$P87)&lt;0,"Negatif giriş",IF($E87&gt;$D87,"Kümülatif &gt; toplam",IF(Q87&gt;$E87,"Verilen &gt; kümülatif","Uygun")))))))</f>
      </c>
    </row>
    <row r="88" ht="24" customHeight="1">
      <c r="A88" s="7"/>
      <c r="B88" s="7"/>
      <c r="C88" s="7"/>
      <c r="D88" s="40"/>
      <c r="E88" s="40"/>
      <c r="F88" s="7"/>
      <c r="G88" s="40"/>
      <c r="H88" s="40"/>
      <c r="I88" s="20" t="str">
        <f>IF(AND(G88="",H88=""),"",IF(COUNT(G88:H88)&lt;2,"Eksik giriş",ROUND(G88*H88,2)))</f>
      </c>
      <c r="J88" s="40"/>
      <c r="K88" s="40"/>
      <c r="L88" s="20" t="str">
        <f>IF(AND(J88="",K88=""),"",IF(COUNT(J88:K88)&lt;2,"Eksik giriş",ROUND(J88*K88,2)))</f>
      </c>
      <c r="M88" s="40"/>
      <c r="N88" s="40"/>
      <c r="O88" s="20" t="str">
        <f>IF(AND(M88="",N88=""),"",IF(COUNT(M88:N88)&lt;2,"Eksik giriş",ROUND(M88*N88,2)))</f>
      </c>
      <c r="P88" s="2"/>
      <c r="Q88" s="20" t="str">
        <f>IF(AND(COUNTA($A88:$F88)=0,COUNT($G88:$P88)=0),"",SUMIFS($G88:$P88,$G$4:$P$4,"Miktar"))</f>
      </c>
      <c r="R88" s="20" t="str">
        <f>IF($E88="","",$E88-Q88)</f>
      </c>
      <c r="S88" s="39" t="str">
        <f>IF(AND(COUNTA($A88:$F88)=0,COUNT($G88:$P88)=0),"",IF(OR($A88="",$B88="",$C88="",$F88=""),"Tanım eksik",IF(COUNT($D88:$E88)&lt;2,"Metraj eksik",IF(COUNTIFS($G88:$P88,"Eksik giriş")&gt;0,"Fiyat / miktar eksik",IF(MIN($D88:$P88)&lt;0,"Negatif giriş",IF($E88&gt;$D88,"Kümülatif &gt; toplam",IF(Q88&gt;$E88,"Verilen &gt; kümülatif","Uygun")))))))</f>
      </c>
    </row>
    <row r="89" ht="24" customHeight="1">
      <c r="A89" s="7"/>
      <c r="B89" s="7"/>
      <c r="C89" s="7"/>
      <c r="D89" s="40"/>
      <c r="E89" s="40"/>
      <c r="F89" s="7"/>
      <c r="G89" s="40"/>
      <c r="H89" s="40"/>
      <c r="I89" s="20" t="str">
        <f>IF(AND(G89="",H89=""),"",IF(COUNT(G89:H89)&lt;2,"Eksik giriş",ROUND(G89*H89,2)))</f>
      </c>
      <c r="J89" s="40"/>
      <c r="K89" s="40"/>
      <c r="L89" s="20" t="str">
        <f>IF(AND(J89="",K89=""),"",IF(COUNT(J89:K89)&lt;2,"Eksik giriş",ROUND(J89*K89,2)))</f>
      </c>
      <c r="M89" s="40"/>
      <c r="N89" s="40"/>
      <c r="O89" s="20" t="str">
        <f>IF(AND(M89="",N89=""),"",IF(COUNT(M89:N89)&lt;2,"Eksik giriş",ROUND(M89*N89,2)))</f>
      </c>
      <c r="P89" s="2"/>
      <c r="Q89" s="20" t="str">
        <f>IF(AND(COUNTA($A89:$F89)=0,COUNT($G89:$P89)=0),"",SUMIFS($G89:$P89,$G$4:$P$4,"Miktar"))</f>
      </c>
      <c r="R89" s="20" t="str">
        <f>IF($E89="","",$E89-Q89)</f>
      </c>
      <c r="S89" s="39" t="str">
        <f>IF(AND(COUNTA($A89:$F89)=0,COUNT($G89:$P89)=0),"",IF(OR($A89="",$B89="",$C89="",$F89=""),"Tanım eksik",IF(COUNT($D89:$E89)&lt;2,"Metraj eksik",IF(COUNTIFS($G89:$P89,"Eksik giriş")&gt;0,"Fiyat / miktar eksik",IF(MIN($D89:$P89)&lt;0,"Negatif giriş",IF($E89&gt;$D89,"Kümülatif &gt; toplam",IF(Q89&gt;$E89,"Verilen &gt; kümülatif","Uygun")))))))</f>
      </c>
    </row>
    <row r="90" ht="24" customHeight="1">
      <c r="A90" s="7"/>
      <c r="B90" s="7"/>
      <c r="C90" s="7"/>
      <c r="D90" s="40"/>
      <c r="E90" s="40"/>
      <c r="F90" s="7"/>
      <c r="G90" s="40"/>
      <c r="H90" s="40"/>
      <c r="I90" s="20" t="str">
        <f>IF(AND(G90="",H90=""),"",IF(COUNT(G90:H90)&lt;2,"Eksik giriş",ROUND(G90*H90,2)))</f>
      </c>
      <c r="J90" s="40"/>
      <c r="K90" s="40"/>
      <c r="L90" s="20" t="str">
        <f>IF(AND(J90="",K90=""),"",IF(COUNT(J90:K90)&lt;2,"Eksik giriş",ROUND(J90*K90,2)))</f>
      </c>
      <c r="M90" s="40"/>
      <c r="N90" s="40"/>
      <c r="O90" s="20" t="str">
        <f>IF(AND(M90="",N90=""),"",IF(COUNT(M90:N90)&lt;2,"Eksik giriş",ROUND(M90*N90,2)))</f>
      </c>
      <c r="P90" s="2"/>
      <c r="Q90" s="20" t="str">
        <f>IF(AND(COUNTA($A90:$F90)=0,COUNT($G90:$P90)=0),"",SUMIFS($G90:$P90,$G$4:$P$4,"Miktar"))</f>
      </c>
      <c r="R90" s="20" t="str">
        <f>IF($E90="","",$E90-Q90)</f>
      </c>
      <c r="S90" s="39" t="str">
        <f>IF(AND(COUNTA($A90:$F90)=0,COUNT($G90:$P90)=0),"",IF(OR($A90="",$B90="",$C90="",$F90=""),"Tanım eksik",IF(COUNT($D90:$E90)&lt;2,"Metraj eksik",IF(COUNTIFS($G90:$P90,"Eksik giriş")&gt;0,"Fiyat / miktar eksik",IF(MIN($D90:$P90)&lt;0,"Negatif giriş",IF($E90&gt;$D90,"Kümülatif &gt; toplam",IF(Q90&gt;$E90,"Verilen &gt; kümülatif","Uygun")))))))</f>
      </c>
    </row>
    <row r="91" ht="24" customHeight="1">
      <c r="A91" s="7"/>
      <c r="B91" s="7"/>
      <c r="C91" s="7"/>
      <c r="D91" s="40"/>
      <c r="E91" s="40"/>
      <c r="F91" s="7"/>
      <c r="G91" s="40"/>
      <c r="H91" s="40"/>
      <c r="I91" s="20" t="str">
        <f>IF(AND(G91="",H91=""),"",IF(COUNT(G91:H91)&lt;2,"Eksik giriş",ROUND(G91*H91,2)))</f>
      </c>
      <c r="J91" s="40"/>
      <c r="K91" s="40"/>
      <c r="L91" s="20" t="str">
        <f>IF(AND(J91="",K91=""),"",IF(COUNT(J91:K91)&lt;2,"Eksik giriş",ROUND(J91*K91,2)))</f>
      </c>
      <c r="M91" s="40"/>
      <c r="N91" s="40"/>
      <c r="O91" s="20" t="str">
        <f>IF(AND(M91="",N91=""),"",IF(COUNT(M91:N91)&lt;2,"Eksik giriş",ROUND(M91*N91,2)))</f>
      </c>
      <c r="P91" s="2"/>
      <c r="Q91" s="20" t="str">
        <f>IF(AND(COUNTA($A91:$F91)=0,COUNT($G91:$P91)=0),"",SUMIFS($G91:$P91,$G$4:$P$4,"Miktar"))</f>
      </c>
      <c r="R91" s="20" t="str">
        <f>IF($E91="","",$E91-Q91)</f>
      </c>
      <c r="S91" s="39" t="str">
        <f>IF(AND(COUNTA($A91:$F91)=0,COUNT($G91:$P91)=0),"",IF(OR($A91="",$B91="",$C91="",$F91=""),"Tanım eksik",IF(COUNT($D91:$E91)&lt;2,"Metraj eksik",IF(COUNTIFS($G91:$P91,"Eksik giriş")&gt;0,"Fiyat / miktar eksik",IF(MIN($D91:$P91)&lt;0,"Negatif giriş",IF($E91&gt;$D91,"Kümülatif &gt; toplam",IF(Q91&gt;$E91,"Verilen &gt; kümülatif","Uygun")))))))</f>
      </c>
    </row>
    <row r="92" ht="24" customHeight="1">
      <c r="A92" s="7"/>
      <c r="B92" s="7"/>
      <c r="C92" s="7"/>
      <c r="D92" s="40"/>
      <c r="E92" s="40"/>
      <c r="F92" s="7"/>
      <c r="G92" s="40"/>
      <c r="H92" s="40"/>
      <c r="I92" s="20" t="str">
        <f>IF(AND(G92="",H92=""),"",IF(COUNT(G92:H92)&lt;2,"Eksik giriş",ROUND(G92*H92,2)))</f>
      </c>
      <c r="J92" s="40"/>
      <c r="K92" s="40"/>
      <c r="L92" s="20" t="str">
        <f>IF(AND(J92="",K92=""),"",IF(COUNT(J92:K92)&lt;2,"Eksik giriş",ROUND(J92*K92,2)))</f>
      </c>
      <c r="M92" s="40"/>
      <c r="N92" s="40"/>
      <c r="O92" s="20" t="str">
        <f>IF(AND(M92="",N92=""),"",IF(COUNT(M92:N92)&lt;2,"Eksik giriş",ROUND(M92*N92,2)))</f>
      </c>
      <c r="P92" s="2"/>
      <c r="Q92" s="20" t="str">
        <f>IF(AND(COUNTA($A92:$F92)=0,COUNT($G92:$P92)=0),"",SUMIFS($G92:$P92,$G$4:$P$4,"Miktar"))</f>
      </c>
      <c r="R92" s="20" t="str">
        <f>IF($E92="","",$E92-Q92)</f>
      </c>
      <c r="S92" s="39" t="str">
        <f>IF(AND(COUNTA($A92:$F92)=0,COUNT($G92:$P92)=0),"",IF(OR($A92="",$B92="",$C92="",$F92=""),"Tanım eksik",IF(COUNT($D92:$E92)&lt;2,"Metraj eksik",IF(COUNTIFS($G92:$P92,"Eksik giriş")&gt;0,"Fiyat / miktar eksik",IF(MIN($D92:$P92)&lt;0,"Negatif giriş",IF($E92&gt;$D92,"Kümülatif &gt; toplam",IF(Q92&gt;$E92,"Verilen &gt; kümülatif","Uygun")))))))</f>
      </c>
    </row>
    <row r="93" ht="24" customHeight="1">
      <c r="A93" s="7"/>
      <c r="B93" s="7"/>
      <c r="C93" s="7"/>
      <c r="D93" s="40"/>
      <c r="E93" s="40"/>
      <c r="F93" s="7"/>
      <c r="G93" s="40"/>
      <c r="H93" s="40"/>
      <c r="I93" s="20" t="str">
        <f>IF(AND(G93="",H93=""),"",IF(COUNT(G93:H93)&lt;2,"Eksik giriş",ROUND(G93*H93,2)))</f>
      </c>
      <c r="J93" s="40"/>
      <c r="K93" s="40"/>
      <c r="L93" s="20" t="str">
        <f>IF(AND(J93="",K93=""),"",IF(COUNT(J93:K93)&lt;2,"Eksik giriş",ROUND(J93*K93,2)))</f>
      </c>
      <c r="M93" s="40"/>
      <c r="N93" s="40"/>
      <c r="O93" s="20" t="str">
        <f>IF(AND(M93="",N93=""),"",IF(COUNT(M93:N93)&lt;2,"Eksik giriş",ROUND(M93*N93,2)))</f>
      </c>
      <c r="P93" s="2"/>
      <c r="Q93" s="20" t="str">
        <f>IF(AND(COUNTA($A93:$F93)=0,COUNT($G93:$P93)=0),"",SUMIFS($G93:$P93,$G$4:$P$4,"Miktar"))</f>
      </c>
      <c r="R93" s="20" t="str">
        <f>IF($E93="","",$E93-Q93)</f>
      </c>
      <c r="S93" s="39" t="str">
        <f>IF(AND(COUNTA($A93:$F93)=0,COUNT($G93:$P93)=0),"",IF(OR($A93="",$B93="",$C93="",$F93=""),"Tanım eksik",IF(COUNT($D93:$E93)&lt;2,"Metraj eksik",IF(COUNTIFS($G93:$P93,"Eksik giriş")&gt;0,"Fiyat / miktar eksik",IF(MIN($D93:$P93)&lt;0,"Negatif giriş",IF($E93&gt;$D93,"Kümülatif &gt; toplam",IF(Q93&gt;$E93,"Verilen &gt; kümülatif","Uygun")))))))</f>
      </c>
    </row>
    <row r="94" ht="24" customHeight="1">
      <c r="A94" s="7"/>
      <c r="B94" s="7"/>
      <c r="C94" s="7"/>
      <c r="D94" s="40"/>
      <c r="E94" s="40"/>
      <c r="F94" s="7"/>
      <c r="G94" s="40"/>
      <c r="H94" s="40"/>
      <c r="I94" s="20" t="str">
        <f>IF(AND(G94="",H94=""),"",IF(COUNT(G94:H94)&lt;2,"Eksik giriş",ROUND(G94*H94,2)))</f>
      </c>
      <c r="J94" s="40"/>
      <c r="K94" s="40"/>
      <c r="L94" s="20" t="str">
        <f>IF(AND(J94="",K94=""),"",IF(COUNT(J94:K94)&lt;2,"Eksik giriş",ROUND(J94*K94,2)))</f>
      </c>
      <c r="M94" s="40"/>
      <c r="N94" s="40"/>
      <c r="O94" s="20" t="str">
        <f>IF(AND(M94="",N94=""),"",IF(COUNT(M94:N94)&lt;2,"Eksik giriş",ROUND(M94*N94,2)))</f>
      </c>
      <c r="P94" s="2"/>
      <c r="Q94" s="20" t="str">
        <f>IF(AND(COUNTA($A94:$F94)=0,COUNT($G94:$P94)=0),"",SUMIFS($G94:$P94,$G$4:$P$4,"Miktar"))</f>
      </c>
      <c r="R94" s="20" t="str">
        <f>IF($E94="","",$E94-Q94)</f>
      </c>
      <c r="S94" s="39" t="str">
        <f>IF(AND(COUNTA($A94:$F94)=0,COUNT($G94:$P94)=0),"",IF(OR($A94="",$B94="",$C94="",$F94=""),"Tanım eksik",IF(COUNT($D94:$E94)&lt;2,"Metraj eksik",IF(COUNTIFS($G94:$P94,"Eksik giriş")&gt;0,"Fiyat / miktar eksik",IF(MIN($D94:$P94)&lt;0,"Negatif giriş",IF($E94&gt;$D94,"Kümülatif &gt; toplam",IF(Q94&gt;$E94,"Verilen &gt; kümülatif","Uygun")))))))</f>
      </c>
    </row>
    <row r="95" ht="24" customHeight="1">
      <c r="A95" s="7"/>
      <c r="B95" s="7"/>
      <c r="C95" s="7"/>
      <c r="D95" s="40"/>
      <c r="E95" s="40"/>
      <c r="F95" s="7"/>
      <c r="G95" s="40"/>
      <c r="H95" s="40"/>
      <c r="I95" s="20" t="str">
        <f>IF(AND(G95="",H95=""),"",IF(COUNT(G95:H95)&lt;2,"Eksik giriş",ROUND(G95*H95,2)))</f>
      </c>
      <c r="J95" s="40"/>
      <c r="K95" s="40"/>
      <c r="L95" s="20" t="str">
        <f>IF(AND(J95="",K95=""),"",IF(COUNT(J95:K95)&lt;2,"Eksik giriş",ROUND(J95*K95,2)))</f>
      </c>
      <c r="M95" s="40"/>
      <c r="N95" s="40"/>
      <c r="O95" s="20" t="str">
        <f>IF(AND(M95="",N95=""),"",IF(COUNT(M95:N95)&lt;2,"Eksik giriş",ROUND(M95*N95,2)))</f>
      </c>
      <c r="P95" s="2"/>
      <c r="Q95" s="20" t="str">
        <f>IF(AND(COUNTA($A95:$F95)=0,COUNT($G95:$P95)=0),"",SUMIFS($G95:$P95,$G$4:$P$4,"Miktar"))</f>
      </c>
      <c r="R95" s="20" t="str">
        <f>IF($E95="","",$E95-Q95)</f>
      </c>
      <c r="S95" s="39" t="str">
        <f>IF(AND(COUNTA($A95:$F95)=0,COUNT($G95:$P95)=0),"",IF(OR($A95="",$B95="",$C95="",$F95=""),"Tanım eksik",IF(COUNT($D95:$E95)&lt;2,"Metraj eksik",IF(COUNTIFS($G95:$P95,"Eksik giriş")&gt;0,"Fiyat / miktar eksik",IF(MIN($D95:$P95)&lt;0,"Negatif giriş",IF($E95&gt;$D95,"Kümülatif &gt; toplam",IF(Q95&gt;$E95,"Verilen &gt; kümülatif","Uygun")))))))</f>
      </c>
    </row>
    <row r="96" ht="24" customHeight="1">
      <c r="A96" s="7"/>
      <c r="B96" s="7"/>
      <c r="C96" s="7"/>
      <c r="D96" s="40"/>
      <c r="E96" s="40"/>
      <c r="F96" s="7"/>
      <c r="G96" s="40"/>
      <c r="H96" s="40"/>
      <c r="I96" s="20" t="str">
        <f>IF(AND(G96="",H96=""),"",IF(COUNT(G96:H96)&lt;2,"Eksik giriş",ROUND(G96*H96,2)))</f>
      </c>
      <c r="J96" s="40"/>
      <c r="K96" s="40"/>
      <c r="L96" s="20" t="str">
        <f>IF(AND(J96="",K96=""),"",IF(COUNT(J96:K96)&lt;2,"Eksik giriş",ROUND(J96*K96,2)))</f>
      </c>
      <c r="M96" s="40"/>
      <c r="N96" s="40"/>
      <c r="O96" s="20" t="str">
        <f>IF(AND(M96="",N96=""),"",IF(COUNT(M96:N96)&lt;2,"Eksik giriş",ROUND(M96*N96,2)))</f>
      </c>
      <c r="P96" s="2"/>
      <c r="Q96" s="20" t="str">
        <f>IF(AND(COUNTA($A96:$F96)=0,COUNT($G96:$P96)=0),"",SUMIFS($G96:$P96,$G$4:$P$4,"Miktar"))</f>
      </c>
      <c r="R96" s="20" t="str">
        <f>IF($E96="","",$E96-Q96)</f>
      </c>
      <c r="S96" s="39" t="str">
        <f>IF(AND(COUNTA($A96:$F96)=0,COUNT($G96:$P96)=0),"",IF(OR($A96="",$B96="",$C96="",$F96=""),"Tanım eksik",IF(COUNT($D96:$E96)&lt;2,"Metraj eksik",IF(COUNTIFS($G96:$P96,"Eksik giriş")&gt;0,"Fiyat / miktar eksik",IF(MIN($D96:$P96)&lt;0,"Negatif giriş",IF($E96&gt;$D96,"Kümülatif &gt; toplam",IF(Q96&gt;$E96,"Verilen &gt; kümülatif","Uygun")))))))</f>
      </c>
    </row>
    <row r="97" ht="24" customHeight="1">
      <c r="A97" s="7"/>
      <c r="B97" s="7"/>
      <c r="C97" s="7"/>
      <c r="D97" s="40"/>
      <c r="E97" s="40"/>
      <c r="F97" s="7"/>
      <c r="G97" s="40"/>
      <c r="H97" s="40"/>
      <c r="I97" s="20" t="str">
        <f>IF(AND(G97="",H97=""),"",IF(COUNT(G97:H97)&lt;2,"Eksik giriş",ROUND(G97*H97,2)))</f>
      </c>
      <c r="J97" s="40"/>
      <c r="K97" s="40"/>
      <c r="L97" s="20" t="str">
        <f>IF(AND(J97="",K97=""),"",IF(COUNT(J97:K97)&lt;2,"Eksik giriş",ROUND(J97*K97,2)))</f>
      </c>
      <c r="M97" s="40"/>
      <c r="N97" s="40"/>
      <c r="O97" s="20" t="str">
        <f>IF(AND(M97="",N97=""),"",IF(COUNT(M97:N97)&lt;2,"Eksik giriş",ROUND(M97*N97,2)))</f>
      </c>
      <c r="P97" s="2"/>
      <c r="Q97" s="20" t="str">
        <f>IF(AND(COUNTA($A97:$F97)=0,COUNT($G97:$P97)=0),"",SUMIFS($G97:$P97,$G$4:$P$4,"Miktar"))</f>
      </c>
      <c r="R97" s="20" t="str">
        <f>IF($E97="","",$E97-Q97)</f>
      </c>
      <c r="S97" s="39" t="str">
        <f>IF(AND(COUNTA($A97:$F97)=0,COUNT($G97:$P97)=0),"",IF(OR($A97="",$B97="",$C97="",$F97=""),"Tanım eksik",IF(COUNT($D97:$E97)&lt;2,"Metraj eksik",IF(COUNTIFS($G97:$P97,"Eksik giriş")&gt;0,"Fiyat / miktar eksik",IF(MIN($D97:$P97)&lt;0,"Negatif giriş",IF($E97&gt;$D97,"Kümülatif &gt; toplam",IF(Q97&gt;$E97,"Verilen &gt; kümülatif","Uygun")))))))</f>
      </c>
    </row>
    <row r="98" ht="24" customHeight="1">
      <c r="A98" s="7"/>
      <c r="B98" s="7"/>
      <c r="C98" s="7"/>
      <c r="D98" s="40"/>
      <c r="E98" s="40"/>
      <c r="F98" s="7"/>
      <c r="G98" s="40"/>
      <c r="H98" s="40"/>
      <c r="I98" s="20" t="str">
        <f>IF(AND(G98="",H98=""),"",IF(COUNT(G98:H98)&lt;2,"Eksik giriş",ROUND(G98*H98,2)))</f>
      </c>
      <c r="J98" s="40"/>
      <c r="K98" s="40"/>
      <c r="L98" s="20" t="str">
        <f>IF(AND(J98="",K98=""),"",IF(COUNT(J98:K98)&lt;2,"Eksik giriş",ROUND(J98*K98,2)))</f>
      </c>
      <c r="M98" s="40"/>
      <c r="N98" s="40"/>
      <c r="O98" s="20" t="str">
        <f>IF(AND(M98="",N98=""),"",IF(COUNT(M98:N98)&lt;2,"Eksik giriş",ROUND(M98*N98,2)))</f>
      </c>
      <c r="P98" s="2"/>
      <c r="Q98" s="20" t="str">
        <f>IF(AND(COUNTA($A98:$F98)=0,COUNT($G98:$P98)=0),"",SUMIFS($G98:$P98,$G$4:$P$4,"Miktar"))</f>
      </c>
      <c r="R98" s="20" t="str">
        <f>IF($E98="","",$E98-Q98)</f>
      </c>
      <c r="S98" s="39" t="str">
        <f>IF(AND(COUNTA($A98:$F98)=0,COUNT($G98:$P98)=0),"",IF(OR($A98="",$B98="",$C98="",$F98=""),"Tanım eksik",IF(COUNT($D98:$E98)&lt;2,"Metraj eksik",IF(COUNTIFS($G98:$P98,"Eksik giriş")&gt;0,"Fiyat / miktar eksik",IF(MIN($D98:$P98)&lt;0,"Negatif giriş",IF($E98&gt;$D98,"Kümülatif &gt; toplam",IF(Q98&gt;$E98,"Verilen &gt; kümülatif","Uygun")))))))</f>
      </c>
    </row>
    <row r="99" ht="24" customHeight="1">
      <c r="A99" s="7"/>
      <c r="B99" s="7"/>
      <c r="C99" s="7"/>
      <c r="D99" s="40"/>
      <c r="E99" s="40"/>
      <c r="F99" s="7"/>
      <c r="G99" s="40"/>
      <c r="H99" s="40"/>
      <c r="I99" s="20" t="str">
        <f>IF(AND(G99="",H99=""),"",IF(COUNT(G99:H99)&lt;2,"Eksik giriş",ROUND(G99*H99,2)))</f>
      </c>
      <c r="J99" s="40"/>
      <c r="K99" s="40"/>
      <c r="L99" s="20" t="str">
        <f>IF(AND(J99="",K99=""),"",IF(COUNT(J99:K99)&lt;2,"Eksik giriş",ROUND(J99*K99,2)))</f>
      </c>
      <c r="M99" s="40"/>
      <c r="N99" s="40"/>
      <c r="O99" s="20" t="str">
        <f>IF(AND(M99="",N99=""),"",IF(COUNT(M99:N99)&lt;2,"Eksik giriş",ROUND(M99*N99,2)))</f>
      </c>
      <c r="P99" s="2"/>
      <c r="Q99" s="20" t="str">
        <f>IF(AND(COUNTA($A99:$F99)=0,COUNT($G99:$P99)=0),"",SUMIFS($G99:$P99,$G$4:$P$4,"Miktar"))</f>
      </c>
      <c r="R99" s="20" t="str">
        <f>IF($E99="","",$E99-Q99)</f>
      </c>
      <c r="S99" s="39" t="str">
        <f>IF(AND(COUNTA($A99:$F99)=0,COUNT($G99:$P99)=0),"",IF(OR($A99="",$B99="",$C99="",$F99=""),"Tanım eksik",IF(COUNT($D99:$E99)&lt;2,"Metraj eksik",IF(COUNTIFS($G99:$P99,"Eksik giriş")&gt;0,"Fiyat / miktar eksik",IF(MIN($D99:$P99)&lt;0,"Negatif giriş",IF($E99&gt;$D99,"Kümülatif &gt; toplam",IF(Q99&gt;$E99,"Verilen &gt; kümülatif","Uygun")))))))</f>
      </c>
    </row>
    <row r="100" ht="24" customHeight="1">
      <c r="A100" s="7"/>
      <c r="B100" s="7"/>
      <c r="C100" s="7"/>
      <c r="D100" s="40"/>
      <c r="E100" s="40"/>
      <c r="F100" s="7"/>
      <c r="G100" s="40"/>
      <c r="H100" s="40"/>
      <c r="I100" s="20" t="str">
        <f>IF(AND(G100="",H100=""),"",IF(COUNT(G100:H100)&lt;2,"Eksik giriş",ROUND(G100*H100,2)))</f>
      </c>
      <c r="J100" s="40"/>
      <c r="K100" s="40"/>
      <c r="L100" s="20" t="str">
        <f>IF(AND(J100="",K100=""),"",IF(COUNT(J100:K100)&lt;2,"Eksik giriş",ROUND(J100*K100,2)))</f>
      </c>
      <c r="M100" s="40"/>
      <c r="N100" s="40"/>
      <c r="O100" s="20" t="str">
        <f>IF(AND(M100="",N100=""),"",IF(COUNT(M100:N100)&lt;2,"Eksik giriş",ROUND(M100*N100,2)))</f>
      </c>
      <c r="P100" s="2"/>
      <c r="Q100" s="20" t="str">
        <f>IF(AND(COUNTA($A100:$F100)=0,COUNT($G100:$P100)=0),"",SUMIFS($G100:$P100,$G$4:$P$4,"Miktar"))</f>
      </c>
      <c r="R100" s="20" t="str">
        <f>IF($E100="","",$E100-Q100)</f>
      </c>
      <c r="S100" s="39" t="str">
        <f>IF(AND(COUNTA($A100:$F100)=0,COUNT($G100:$P100)=0),"",IF(OR($A100="",$B100="",$C100="",$F100=""),"Tanım eksik",IF(COUNT($D100:$E100)&lt;2,"Metraj eksik",IF(COUNTIFS($G100:$P100,"Eksik giriş")&gt;0,"Fiyat / miktar eksik",IF(MIN($D100:$P100)&lt;0,"Negatif giriş",IF($E100&gt;$D100,"Kümülatif &gt; toplam",IF(Q100&gt;$E100,"Verilen &gt; kümülatif","Uygun")))))))</f>
      </c>
    </row>
    <row r="101" ht="24" customHeight="1">
      <c r="A101" s="7"/>
      <c r="B101" s="7"/>
      <c r="C101" s="7"/>
      <c r="D101" s="40"/>
      <c r="E101" s="40"/>
      <c r="F101" s="7"/>
      <c r="G101" s="40"/>
      <c r="H101" s="40"/>
      <c r="I101" s="20" t="str">
        <f>IF(AND(G101="",H101=""),"",IF(COUNT(G101:H101)&lt;2,"Eksik giriş",ROUND(G101*H101,2)))</f>
      </c>
      <c r="J101" s="40"/>
      <c r="K101" s="40"/>
      <c r="L101" s="20" t="str">
        <f>IF(AND(J101="",K101=""),"",IF(COUNT(J101:K101)&lt;2,"Eksik giriş",ROUND(J101*K101,2)))</f>
      </c>
      <c r="M101" s="40"/>
      <c r="N101" s="40"/>
      <c r="O101" s="20" t="str">
        <f>IF(AND(M101="",N101=""),"",IF(COUNT(M101:N101)&lt;2,"Eksik giriş",ROUND(M101*N101,2)))</f>
      </c>
      <c r="P101" s="2"/>
      <c r="Q101" s="20" t="str">
        <f>IF(AND(COUNTA($A101:$F101)=0,COUNT($G101:$P101)=0),"",SUMIFS($G101:$P101,$G$4:$P$4,"Miktar"))</f>
      </c>
      <c r="R101" s="20" t="str">
        <f>IF($E101="","",$E101-Q101)</f>
      </c>
      <c r="S101" s="39" t="str">
        <f>IF(AND(COUNTA($A101:$F101)=0,COUNT($G101:$P101)=0),"",IF(OR($A101="",$B101="",$C101="",$F101=""),"Tanım eksik",IF(COUNT($D101:$E101)&lt;2,"Metraj eksik",IF(COUNTIFS($G101:$P101,"Eksik giriş")&gt;0,"Fiyat / miktar eksik",IF(MIN($D101:$P101)&lt;0,"Negatif giriş",IF($E101&gt;$D101,"Kümülatif &gt; toplam",IF(Q101&gt;$E101,"Verilen &gt; kümülatif","Uygun")))))))</f>
      </c>
    </row>
    <row r="102" ht="24" customHeight="1">
      <c r="A102" s="7"/>
      <c r="B102" s="7"/>
      <c r="C102" s="7"/>
      <c r="D102" s="40"/>
      <c r="E102" s="40"/>
      <c r="F102" s="7"/>
      <c r="G102" s="40"/>
      <c r="H102" s="40"/>
      <c r="I102" s="20" t="str">
        <f>IF(AND(G102="",H102=""),"",IF(COUNT(G102:H102)&lt;2,"Eksik giriş",ROUND(G102*H102,2)))</f>
      </c>
      <c r="J102" s="40"/>
      <c r="K102" s="40"/>
      <c r="L102" s="20" t="str">
        <f>IF(AND(J102="",K102=""),"",IF(COUNT(J102:K102)&lt;2,"Eksik giriş",ROUND(J102*K102,2)))</f>
      </c>
      <c r="M102" s="40"/>
      <c r="N102" s="40"/>
      <c r="O102" s="20" t="str">
        <f>IF(AND(M102="",N102=""),"",IF(COUNT(M102:N102)&lt;2,"Eksik giriş",ROUND(M102*N102,2)))</f>
      </c>
      <c r="P102" s="2"/>
      <c r="Q102" s="20" t="str">
        <f>IF(AND(COUNTA($A102:$F102)=0,COUNT($G102:$P102)=0),"",SUMIFS($G102:$P102,$G$4:$P$4,"Miktar"))</f>
      </c>
      <c r="R102" s="20" t="str">
        <f>IF($E102="","",$E102-Q102)</f>
      </c>
      <c r="S102" s="39" t="str">
        <f>IF(AND(COUNTA($A102:$F102)=0,COUNT($G102:$P102)=0),"",IF(OR($A102="",$B102="",$C102="",$F102=""),"Tanım eksik",IF(COUNT($D102:$E102)&lt;2,"Metraj eksik",IF(COUNTIFS($G102:$P102,"Eksik giriş")&gt;0,"Fiyat / miktar eksik",IF(MIN($D102:$P102)&lt;0,"Negatif giriş",IF($E102&gt;$D102,"Kümülatif &gt; toplam",IF(Q102&gt;$E102,"Verilen &gt; kümülatif","Uygun")))))))</f>
      </c>
    </row>
    <row r="103" ht="24" customHeight="1">
      <c r="A103" s="7"/>
      <c r="B103" s="7"/>
      <c r="C103" s="7"/>
      <c r="D103" s="40"/>
      <c r="E103" s="40"/>
      <c r="F103" s="7"/>
      <c r="G103" s="40"/>
      <c r="H103" s="40"/>
      <c r="I103" s="20" t="str">
        <f>IF(AND(G103="",H103=""),"",IF(COUNT(G103:H103)&lt;2,"Eksik giriş",ROUND(G103*H103,2)))</f>
      </c>
      <c r="J103" s="40"/>
      <c r="K103" s="40"/>
      <c r="L103" s="20" t="str">
        <f>IF(AND(J103="",K103=""),"",IF(COUNT(J103:K103)&lt;2,"Eksik giriş",ROUND(J103*K103,2)))</f>
      </c>
      <c r="M103" s="40"/>
      <c r="N103" s="40"/>
      <c r="O103" s="20" t="str">
        <f>IF(AND(M103="",N103=""),"",IF(COUNT(M103:N103)&lt;2,"Eksik giriş",ROUND(M103*N103,2)))</f>
      </c>
      <c r="P103" s="2"/>
      <c r="Q103" s="20" t="str">
        <f>IF(AND(COUNTA($A103:$F103)=0,COUNT($G103:$P103)=0),"",SUMIFS($G103:$P103,$G$4:$P$4,"Miktar"))</f>
      </c>
      <c r="R103" s="20" t="str">
        <f>IF($E103="","",$E103-Q103)</f>
      </c>
      <c r="S103" s="39" t="str">
        <f>IF(AND(COUNTA($A103:$F103)=0,COUNT($G103:$P103)=0),"",IF(OR($A103="",$B103="",$C103="",$F103=""),"Tanım eksik",IF(COUNT($D103:$E103)&lt;2,"Metraj eksik",IF(COUNTIFS($G103:$P103,"Eksik giriş")&gt;0,"Fiyat / miktar eksik",IF(MIN($D103:$P103)&lt;0,"Negatif giriş",IF($E103&gt;$D103,"Kümülatif &gt; toplam",IF(Q103&gt;$E103,"Verilen &gt; kümülatif","Uygun")))))))</f>
      </c>
    </row>
    <row r="104" ht="24" customHeight="1">
      <c r="A104" s="7"/>
      <c r="B104" s="7"/>
      <c r="C104" s="7"/>
      <c r="D104" s="40"/>
      <c r="E104" s="40"/>
      <c r="F104" s="7"/>
      <c r="G104" s="40"/>
      <c r="H104" s="40"/>
      <c r="I104" s="20" t="str">
        <f>IF(AND(G104="",H104=""),"",IF(COUNT(G104:H104)&lt;2,"Eksik giriş",ROUND(G104*H104,2)))</f>
      </c>
      <c r="J104" s="40"/>
      <c r="K104" s="40"/>
      <c r="L104" s="20" t="str">
        <f>IF(AND(J104="",K104=""),"",IF(COUNT(J104:K104)&lt;2,"Eksik giriş",ROUND(J104*K104,2)))</f>
      </c>
      <c r="M104" s="40"/>
      <c r="N104" s="40"/>
      <c r="O104" s="20" t="str">
        <f>IF(AND(M104="",N104=""),"",IF(COUNT(M104:N104)&lt;2,"Eksik giriş",ROUND(M104*N104,2)))</f>
      </c>
      <c r="P104" s="2"/>
      <c r="Q104" s="20" t="str">
        <f>IF(AND(COUNTA($A104:$F104)=0,COUNT($G104:$P104)=0),"",SUMIFS($G104:$P104,$G$4:$P$4,"Miktar"))</f>
      </c>
      <c r="R104" s="20" t="str">
        <f>IF($E104="","",$E104-Q104)</f>
      </c>
      <c r="S104" s="39" t="str">
        <f>IF(AND(COUNTA($A104:$F104)=0,COUNT($G104:$P104)=0),"",IF(OR($A104="",$B104="",$C104="",$F104=""),"Tanım eksik",IF(COUNT($D104:$E104)&lt;2,"Metraj eksik",IF(COUNTIFS($G104:$P104,"Eksik giriş")&gt;0,"Fiyat / miktar eksik",IF(MIN($D104:$P104)&lt;0,"Negatif giriş",IF($E104&gt;$D104,"Kümülatif &gt; toplam",IF(Q104&gt;$E104,"Verilen &gt; kümülatif","Uygun")))))))</f>
      </c>
    </row>
    <row r="105" ht="24" customHeight="1">
      <c r="A105" s="7"/>
      <c r="B105" s="7"/>
      <c r="C105" s="7"/>
      <c r="D105" s="40"/>
      <c r="E105" s="40"/>
      <c r="F105" s="7"/>
      <c r="G105" s="40"/>
      <c r="H105" s="40"/>
      <c r="I105" s="20" t="str">
        <f>IF(AND(G105="",H105=""),"",IF(COUNT(G105:H105)&lt;2,"Eksik giriş",ROUND(G105*H105,2)))</f>
      </c>
      <c r="J105" s="40"/>
      <c r="K105" s="40"/>
      <c r="L105" s="20" t="str">
        <f>IF(AND(J105="",K105=""),"",IF(COUNT(J105:K105)&lt;2,"Eksik giriş",ROUND(J105*K105,2)))</f>
      </c>
      <c r="M105" s="40"/>
      <c r="N105" s="40"/>
      <c r="O105" s="20" t="str">
        <f>IF(AND(M105="",N105=""),"",IF(COUNT(M105:N105)&lt;2,"Eksik giriş",ROUND(M105*N105,2)))</f>
      </c>
      <c r="P105" s="2"/>
      <c r="Q105" s="20" t="str">
        <f>IF(AND(COUNTA($A105:$F105)=0,COUNT($G105:$P105)=0),"",SUMIFS($G105:$P105,$G$4:$P$4,"Miktar"))</f>
      </c>
      <c r="R105" s="20" t="str">
        <f>IF($E105="","",$E105-Q105)</f>
      </c>
      <c r="S105" s="39" t="str">
        <f>IF(AND(COUNTA($A105:$F105)=0,COUNT($G105:$P105)=0),"",IF(OR($A105="",$B105="",$C105="",$F105=""),"Tanım eksik",IF(COUNT($D105:$E105)&lt;2,"Metraj eksik",IF(COUNTIFS($G105:$P105,"Eksik giriş")&gt;0,"Fiyat / miktar eksik",IF(MIN($D105:$P105)&lt;0,"Negatif giriş",IF($E105&gt;$D105,"Kümülatif &gt; toplam",IF(Q105&gt;$E105,"Verilen &gt; kümülatif","Uygun")))))))</f>
      </c>
    </row>
    <row r="106" ht="24" customHeight="1">
      <c r="A106" s="7"/>
      <c r="B106" s="7"/>
      <c r="C106" s="7"/>
      <c r="D106" s="40"/>
      <c r="E106" s="40"/>
      <c r="F106" s="7"/>
      <c r="G106" s="40"/>
      <c r="H106" s="40"/>
      <c r="I106" s="20" t="str">
        <f>IF(AND(G106="",H106=""),"",IF(COUNT(G106:H106)&lt;2,"Eksik giriş",ROUND(G106*H106,2)))</f>
      </c>
      <c r="J106" s="40"/>
      <c r="K106" s="40"/>
      <c r="L106" s="20" t="str">
        <f>IF(AND(J106="",K106=""),"",IF(COUNT(J106:K106)&lt;2,"Eksik giriş",ROUND(J106*K106,2)))</f>
      </c>
      <c r="M106" s="40"/>
      <c r="N106" s="40"/>
      <c r="O106" s="20" t="str">
        <f>IF(AND(M106="",N106=""),"",IF(COUNT(M106:N106)&lt;2,"Eksik giriş",ROUND(M106*N106,2)))</f>
      </c>
      <c r="P106" s="2"/>
      <c r="Q106" s="20" t="str">
        <f>IF(AND(COUNTA($A106:$F106)=0,COUNT($G106:$P106)=0),"",SUMIFS($G106:$P106,$G$4:$P$4,"Miktar"))</f>
      </c>
      <c r="R106" s="20" t="str">
        <f>IF($E106="","",$E106-Q106)</f>
      </c>
      <c r="S106" s="39" t="str">
        <f>IF(AND(COUNTA($A106:$F106)=0,COUNT($G106:$P106)=0),"",IF(OR($A106="",$B106="",$C106="",$F106=""),"Tanım eksik",IF(COUNT($D106:$E106)&lt;2,"Metraj eksik",IF(COUNTIFS($G106:$P106,"Eksik giriş")&gt;0,"Fiyat / miktar eksik",IF(MIN($D106:$P106)&lt;0,"Negatif giriş",IF($E106&gt;$D106,"Kümülatif &gt; toplam",IF(Q106&gt;$E106,"Verilen &gt; kümülatif","Uygun")))))))</f>
      </c>
    </row>
    <row r="107" ht="24" customHeight="1">
      <c r="A107" s="7"/>
      <c r="B107" s="7"/>
      <c r="C107" s="7"/>
      <c r="D107" s="40"/>
      <c r="E107" s="40"/>
      <c r="F107" s="7"/>
      <c r="G107" s="40"/>
      <c r="H107" s="40"/>
      <c r="I107" s="20" t="str">
        <f>IF(AND(G107="",H107=""),"",IF(COUNT(G107:H107)&lt;2,"Eksik giriş",ROUND(G107*H107,2)))</f>
      </c>
      <c r="J107" s="40"/>
      <c r="K107" s="40"/>
      <c r="L107" s="20" t="str">
        <f>IF(AND(J107="",K107=""),"",IF(COUNT(J107:K107)&lt;2,"Eksik giriş",ROUND(J107*K107,2)))</f>
      </c>
      <c r="M107" s="40"/>
      <c r="N107" s="40"/>
      <c r="O107" s="20" t="str">
        <f>IF(AND(M107="",N107=""),"",IF(COUNT(M107:N107)&lt;2,"Eksik giriş",ROUND(M107*N107,2)))</f>
      </c>
      <c r="P107" s="2"/>
      <c r="Q107" s="20" t="str">
        <f>IF(AND(COUNTA($A107:$F107)=0,COUNT($G107:$P107)=0),"",SUMIFS($G107:$P107,$G$4:$P$4,"Miktar"))</f>
      </c>
      <c r="R107" s="20" t="str">
        <f>IF($E107="","",$E107-Q107)</f>
      </c>
      <c r="S107" s="39" t="str">
        <f>IF(AND(COUNTA($A107:$F107)=0,COUNT($G107:$P107)=0),"",IF(OR($A107="",$B107="",$C107="",$F107=""),"Tanım eksik",IF(COUNT($D107:$E107)&lt;2,"Metraj eksik",IF(COUNTIFS($G107:$P107,"Eksik giriş")&gt;0,"Fiyat / miktar eksik",IF(MIN($D107:$P107)&lt;0,"Negatif giriş",IF($E107&gt;$D107,"Kümülatif &gt; toplam",IF(Q107&gt;$E107,"Verilen &gt; kümülatif","Uygun")))))))</f>
      </c>
    </row>
  </sheetData>
  <mergeCells>
    <mergeCell ref="G5:I5"/>
    <mergeCell ref="J5:L5"/>
    <mergeCell ref="M5:O5"/>
  </mergeCells>
  <conditionalFormatting sqref="G8:H107">
    <cfRule type="cellIs" dxfId="4" priority="1" operator="lessThan">
      <formula>0</formula>
    </cfRule>
  </conditionalFormatting>
  <conditionalFormatting sqref="J8:K107">
    <cfRule type="cellIs" dxfId="5" priority="2" operator="lessThan">
      <formula>0</formula>
    </cfRule>
  </conditionalFormatting>
  <conditionalFormatting sqref="M8:N107">
    <cfRule type="cellIs" dxfId="6" priority="3" operator="lessThan">
      <formula>0</formula>
    </cfRule>
  </conditionalFormatting>
  <conditionalFormatting sqref="S8:S107">
    <cfRule type="expression" dxfId="7" priority="4">
      <formula>AND(S8&lt;&gt;"",S8&lt;&gt;"Uygun")</formula>
    </cfRule>
  </conditionalFormatting>
  <dataValidations count="1">
    <dataValidation type="list" sqref="F8:F107">
      <formula1>"m²,m,m³,adet,kg,ton,yevmiye,saat,gün,takım"</formula1>
    </dataValidation>
  </dataValidations>
  <pageMargins left="0.7" right="0.7" top="0.75" bottom="0.75" header="0.3" footer="0.3"/>
  <tableParts count="1">
    <tablePart xmlns:r="http://schemas.openxmlformats.org/officeDocument/2006/relationships" r:id="R31c56f8eaed246a2"/>
  </tableParts>
</worksheet>
</file>

<file path=xl/worksheets/sheet3.xml><?xml version="1.0" encoding="utf-8"?>
<worksheet xmlns="http://schemas.openxmlformats.org/spreadsheetml/2006/main">
  <sheetViews>
    <sheetView showGridLines="0" workbookViewId="0">
      <pane ySplit="7" topLeftCell="A8" activePane="bottomLeft" state="frozen"/>
    </sheetView>
  </sheetViews>
  <sheetFormatPr defaultRowHeight="15"/>
  <cols>
    <col min="1" max="1" width="15" hidden="0" customWidth="1"/>
    <col min="2" max="2" width="18" hidden="0" customWidth="1"/>
    <col min="3" max="3" width="18" hidden="0" customWidth="1"/>
    <col min="4" max="4" width="36" hidden="0" customWidth="1"/>
    <col min="5" max="5" width="14" hidden="0" customWidth="1"/>
    <col min="6" max="6" width="14" hidden="0" customWidth="1"/>
    <col min="7" max="7" width="19" hidden="0" customWidth="1"/>
    <col min="8" max="8" width="21" hidden="0" customWidth="1"/>
    <col min="9" max="9" width="22" hidden="0" customWidth="1"/>
  </cols>
  <sheetData>
    <row r="1" ht="24" customHeight="1">
      <c r="A1" s="2"/>
      <c r="B1" s="2"/>
      <c r="C1" s="2"/>
      <c r="D1" s="2"/>
      <c r="E1" s="2"/>
      <c r="F1" s="2"/>
      <c r="G1" s="2"/>
      <c r="H1" s="2"/>
      <c r="I1" s="2"/>
    </row>
    <row r="2" ht="32" customHeight="1">
      <c r="A2" s="4" t="str">
        <v>Tutanak ve Ekler</v>
      </c>
      <c r="B2" s="5"/>
      <c r="C2" s="5"/>
      <c r="D2" s="5"/>
      <c r="E2" s="5"/>
      <c r="F2" s="5"/>
      <c r="G2" s="5"/>
      <c r="H2" s="5"/>
      <c r="I2" s="5"/>
    </row>
    <row r="3" ht="24" customHeight="1">
      <c r="A3" s="2" t="str">
        <v>Her kayıt tek döneme aittir. Dönem numarasını Özet sayfasındaki numarayla aynı girin.</v>
      </c>
      <c r="B3" s="2"/>
      <c r="C3" s="2"/>
      <c r="D3" s="2"/>
      <c r="E3" s="2"/>
      <c r="F3" s="2"/>
      <c r="G3" s="2"/>
      <c r="H3" s="2"/>
      <c r="I3" s="2"/>
    </row>
    <row r="4" ht="24" customHeight="1">
      <c r="A4" s="28"/>
      <c r="B4" s="28"/>
      <c r="C4" s="28"/>
      <c r="D4" s="28"/>
      <c r="E4" s="28"/>
      <c r="F4" s="28"/>
      <c r="G4" s="28"/>
      <c r="H4" s="28"/>
      <c r="I4" s="28"/>
    </row>
    <row r="5" ht="24" customHeight="1">
      <c r="A5" s="2"/>
      <c r="B5" s="2"/>
      <c r="C5" s="2"/>
      <c r="D5" s="2"/>
      <c r="E5" s="2"/>
      <c r="F5" s="2"/>
      <c r="G5" s="2"/>
      <c r="H5" s="2"/>
      <c r="I5" s="2"/>
    </row>
    <row r="6" ht="24" customHeight="1">
      <c r="A6" s="2"/>
      <c r="B6" s="2"/>
      <c r="C6" s="2"/>
      <c r="D6" s="2"/>
      <c r="E6" s="2"/>
      <c r="F6" s="2"/>
      <c r="G6" s="2"/>
      <c r="H6" s="2"/>
      <c r="I6" s="2"/>
    </row>
    <row r="7" ht="40" customHeight="1">
      <c r="A7" s="13" t="str">
        <v>Tarih</v>
      </c>
      <c r="B7" s="13" t="str">
        <v>Hakediş Dönemi</v>
      </c>
      <c r="C7" s="13" t="str">
        <v>Tür</v>
      </c>
      <c r="D7" s="13" t="str">
        <v>Açıklama</v>
      </c>
      <c r="E7" s="13" t="str">
        <v>Miktar</v>
      </c>
      <c r="F7" s="13" t="str">
        <v>Birim</v>
      </c>
      <c r="G7" s="13" t="str">
        <v>Birim Fiyat</v>
      </c>
      <c r="H7" s="13" t="str">
        <v>Tutar</v>
      </c>
      <c r="I7" s="13" t="str">
        <v>Kontrol</v>
      </c>
    </row>
    <row r="8" ht="24" customHeight="1">
      <c r="A8" s="8"/>
      <c r="B8" s="7"/>
      <c r="C8" s="7"/>
      <c r="D8" s="7"/>
      <c r="E8" s="40"/>
      <c r="F8" s="7"/>
      <c r="G8" s="40"/>
      <c r="H8" s="20" t="n">
        <f>IF(COUNTA(A8:G8)=0,"",IF(COUNT(E8,G8)&lt;2,"Eksik giriş",ROUND(E8*G8,2)))</f>
      </c>
      <c r="I8" s="39" t="str">
        <f>IF(COUNTA(A8:G8)=0,"",IF(OR(COUNT(A8,B8,E8,G8)&lt;4,C8="",D8="",F8=""),"Eksik giriş",IF(COUNTIFS('Özet'!$B$10:$E$10,B8)&lt;&gt;1,"Dönem yok / tekrar",IF(OR(E8&lt;0,G8&lt;0),"Negatif giriş","Uygun"))))</f>
      </c>
    </row>
    <row r="9" ht="24" customHeight="1">
      <c r="A9" s="8"/>
      <c r="B9" s="7"/>
      <c r="C9" s="7"/>
      <c r="D9" s="7"/>
      <c r="E9" s="40"/>
      <c r="F9" s="7"/>
      <c r="G9" s="40"/>
      <c r="H9" s="20" t="str">
        <f>IF(COUNTA(A9:G9)=0,"",IF(COUNT(E9,G9)&lt;2,"Eksik giriş",ROUND(E9*G9,2)))</f>
      </c>
      <c r="I9" s="39" t="str">
        <f>IF(COUNTA(A9:G9)=0,"",IF(OR(COUNT(A9,B9,E9,G9)&lt;4,C9="",D9="",F9=""),"Eksik giriş",IF(COUNTIFS('Özet'!$B$10:$E$10,B9)&lt;&gt;1,"Dönem yok / tekrar",IF(OR(E9&lt;0,G9&lt;0),"Negatif giriş","Uygun"))))</f>
      </c>
    </row>
    <row r="10" ht="24" customHeight="1">
      <c r="A10" s="8"/>
      <c r="B10" s="7"/>
      <c r="C10" s="7"/>
      <c r="D10" s="7"/>
      <c r="E10" s="40"/>
      <c r="F10" s="7"/>
      <c r="G10" s="40"/>
      <c r="H10" s="20" t="str">
        <f>IF(COUNTA(A10:G10)=0,"",IF(COUNT(E10,G10)&lt;2,"Eksik giriş",ROUND(E10*G10,2)))</f>
      </c>
      <c r="I10" s="39" t="str">
        <f>IF(COUNTA(A10:G10)=0,"",IF(OR(COUNT(A10,B10,E10,G10)&lt;4,C10="",D10="",F10=""),"Eksik giriş",IF(COUNTIFS('Özet'!$B$10:$E$10,B10)&lt;&gt;1,"Dönem yok / tekrar",IF(OR(E10&lt;0,G10&lt;0),"Negatif giriş","Uygun"))))</f>
      </c>
    </row>
    <row r="11" ht="24" customHeight="1">
      <c r="A11" s="8"/>
      <c r="B11" s="7"/>
      <c r="C11" s="7"/>
      <c r="D11" s="7"/>
      <c r="E11" s="40"/>
      <c r="F11" s="7"/>
      <c r="G11" s="40"/>
      <c r="H11" s="20" t="str">
        <f>IF(COUNTA(A11:G11)=0,"",IF(COUNT(E11,G11)&lt;2,"Eksik giriş",ROUND(E11*G11,2)))</f>
      </c>
      <c r="I11" s="39" t="str">
        <f>IF(COUNTA(A11:G11)=0,"",IF(OR(COUNT(A11,B11,E11,G11)&lt;4,C11="",D11="",F11=""),"Eksik giriş",IF(COUNTIFS('Özet'!$B$10:$E$10,B11)&lt;&gt;1,"Dönem yok / tekrar",IF(OR(E11&lt;0,G11&lt;0),"Negatif giriş","Uygun"))))</f>
      </c>
    </row>
    <row r="12" ht="24" customHeight="1">
      <c r="A12" s="8"/>
      <c r="B12" s="7"/>
      <c r="C12" s="7"/>
      <c r="D12" s="7"/>
      <c r="E12" s="40"/>
      <c r="F12" s="7"/>
      <c r="G12" s="40"/>
      <c r="H12" s="20" t="str">
        <f>IF(COUNTA(A12:G12)=0,"",IF(COUNT(E12,G12)&lt;2,"Eksik giriş",ROUND(E12*G12,2)))</f>
      </c>
      <c r="I12" s="39" t="str">
        <f>IF(COUNTA(A12:G12)=0,"",IF(OR(COUNT(A12,B12,E12,G12)&lt;4,C12="",D12="",F12=""),"Eksik giriş",IF(COUNTIFS('Özet'!$B$10:$E$10,B12)&lt;&gt;1,"Dönem yok / tekrar",IF(OR(E12&lt;0,G12&lt;0),"Negatif giriş","Uygun"))))</f>
      </c>
    </row>
    <row r="13" ht="24" customHeight="1">
      <c r="A13" s="8"/>
      <c r="B13" s="7"/>
      <c r="C13" s="7"/>
      <c r="D13" s="7"/>
      <c r="E13" s="40"/>
      <c r="F13" s="7"/>
      <c r="G13" s="40"/>
      <c r="H13" s="20" t="str">
        <f>IF(COUNTA(A13:G13)=0,"",IF(COUNT(E13,G13)&lt;2,"Eksik giriş",ROUND(E13*G13,2)))</f>
      </c>
      <c r="I13" s="39" t="str">
        <f>IF(COUNTA(A13:G13)=0,"",IF(OR(COUNT(A13,B13,E13,G13)&lt;4,C13="",D13="",F13=""),"Eksik giriş",IF(COUNTIFS('Özet'!$B$10:$E$10,B13)&lt;&gt;1,"Dönem yok / tekrar",IF(OR(E13&lt;0,G13&lt;0),"Negatif giriş","Uygun"))))</f>
      </c>
    </row>
    <row r="14" ht="24" customHeight="1">
      <c r="A14" s="8"/>
      <c r="B14" s="7"/>
      <c r="C14" s="7"/>
      <c r="D14" s="7"/>
      <c r="E14" s="40"/>
      <c r="F14" s="7"/>
      <c r="G14" s="40"/>
      <c r="H14" s="20" t="str">
        <f>IF(COUNTA(A14:G14)=0,"",IF(COUNT(E14,G14)&lt;2,"Eksik giriş",ROUND(E14*G14,2)))</f>
      </c>
      <c r="I14" s="39" t="str">
        <f>IF(COUNTA(A14:G14)=0,"",IF(OR(COUNT(A14,B14,E14,G14)&lt;4,C14="",D14="",F14=""),"Eksik giriş",IF(COUNTIFS('Özet'!$B$10:$E$10,B14)&lt;&gt;1,"Dönem yok / tekrar",IF(OR(E14&lt;0,G14&lt;0),"Negatif giriş","Uygun"))))</f>
      </c>
    </row>
    <row r="15" ht="24" customHeight="1">
      <c r="A15" s="8"/>
      <c r="B15" s="7"/>
      <c r="C15" s="7"/>
      <c r="D15" s="7"/>
      <c r="E15" s="40"/>
      <c r="F15" s="7"/>
      <c r="G15" s="40"/>
      <c r="H15" s="20" t="str">
        <f>IF(COUNTA(A15:G15)=0,"",IF(COUNT(E15,G15)&lt;2,"Eksik giriş",ROUND(E15*G15,2)))</f>
      </c>
      <c r="I15" s="39" t="str">
        <f>IF(COUNTA(A15:G15)=0,"",IF(OR(COUNT(A15,B15,E15,G15)&lt;4,C15="",D15="",F15=""),"Eksik giriş",IF(COUNTIFS('Özet'!$B$10:$E$10,B15)&lt;&gt;1,"Dönem yok / tekrar",IF(OR(E15&lt;0,G15&lt;0),"Negatif giriş","Uygun"))))</f>
      </c>
    </row>
    <row r="16" ht="24" customHeight="1">
      <c r="A16" s="8"/>
      <c r="B16" s="7"/>
      <c r="C16" s="7"/>
      <c r="D16" s="7"/>
      <c r="E16" s="40"/>
      <c r="F16" s="7"/>
      <c r="G16" s="40"/>
      <c r="H16" s="20" t="str">
        <f>IF(COUNTA(A16:G16)=0,"",IF(COUNT(E16,G16)&lt;2,"Eksik giriş",ROUND(E16*G16,2)))</f>
      </c>
      <c r="I16" s="39" t="str">
        <f>IF(COUNTA(A16:G16)=0,"",IF(OR(COUNT(A16,B16,E16,G16)&lt;4,C16="",D16="",F16=""),"Eksik giriş",IF(COUNTIFS('Özet'!$B$10:$E$10,B16)&lt;&gt;1,"Dönem yok / tekrar",IF(OR(E16&lt;0,G16&lt;0),"Negatif giriş","Uygun"))))</f>
      </c>
    </row>
    <row r="17" ht="24" customHeight="1">
      <c r="A17" s="8"/>
      <c r="B17" s="7"/>
      <c r="C17" s="7"/>
      <c r="D17" s="7"/>
      <c r="E17" s="40"/>
      <c r="F17" s="7"/>
      <c r="G17" s="40"/>
      <c r="H17" s="20" t="str">
        <f>IF(COUNTA(A17:G17)=0,"",IF(COUNT(E17,G17)&lt;2,"Eksik giriş",ROUND(E17*G17,2)))</f>
      </c>
      <c r="I17" s="39" t="str">
        <f>IF(COUNTA(A17:G17)=0,"",IF(OR(COUNT(A17,B17,E17,G17)&lt;4,C17="",D17="",F17=""),"Eksik giriş",IF(COUNTIFS('Özet'!$B$10:$E$10,B17)&lt;&gt;1,"Dönem yok / tekrar",IF(OR(E17&lt;0,G17&lt;0),"Negatif giriş","Uygun"))))</f>
      </c>
    </row>
    <row r="18" ht="24" customHeight="1">
      <c r="A18" s="8"/>
      <c r="B18" s="7"/>
      <c r="C18" s="7"/>
      <c r="D18" s="7"/>
      <c r="E18" s="40"/>
      <c r="F18" s="7"/>
      <c r="G18" s="40"/>
      <c r="H18" s="20" t="str">
        <f>IF(COUNTA(A18:G18)=0,"",IF(COUNT(E18,G18)&lt;2,"Eksik giriş",ROUND(E18*G18,2)))</f>
      </c>
      <c r="I18" s="39" t="str">
        <f>IF(COUNTA(A18:G18)=0,"",IF(OR(COUNT(A18,B18,E18,G18)&lt;4,C18="",D18="",F18=""),"Eksik giriş",IF(COUNTIFS('Özet'!$B$10:$E$10,B18)&lt;&gt;1,"Dönem yok / tekrar",IF(OR(E18&lt;0,G18&lt;0),"Negatif giriş","Uygun"))))</f>
      </c>
    </row>
    <row r="19" ht="24" customHeight="1">
      <c r="A19" s="8"/>
      <c r="B19" s="7"/>
      <c r="C19" s="7"/>
      <c r="D19" s="7"/>
      <c r="E19" s="40"/>
      <c r="F19" s="7"/>
      <c r="G19" s="40"/>
      <c r="H19" s="20" t="str">
        <f>IF(COUNTA(A19:G19)=0,"",IF(COUNT(E19,G19)&lt;2,"Eksik giriş",ROUND(E19*G19,2)))</f>
      </c>
      <c r="I19" s="39" t="str">
        <f>IF(COUNTA(A19:G19)=0,"",IF(OR(COUNT(A19,B19,E19,G19)&lt;4,C19="",D19="",F19=""),"Eksik giriş",IF(COUNTIFS('Özet'!$B$10:$E$10,B19)&lt;&gt;1,"Dönem yok / tekrar",IF(OR(E19&lt;0,G19&lt;0),"Negatif giriş","Uygun"))))</f>
      </c>
    </row>
    <row r="20" ht="24" customHeight="1">
      <c r="A20" s="8"/>
      <c r="B20" s="7"/>
      <c r="C20" s="7"/>
      <c r="D20" s="7"/>
      <c r="E20" s="40"/>
      <c r="F20" s="7"/>
      <c r="G20" s="40"/>
      <c r="H20" s="20" t="str">
        <f>IF(COUNTA(A20:G20)=0,"",IF(COUNT(E20,G20)&lt;2,"Eksik giriş",ROUND(E20*G20,2)))</f>
      </c>
      <c r="I20" s="39" t="str">
        <f>IF(COUNTA(A20:G20)=0,"",IF(OR(COUNT(A20,B20,E20,G20)&lt;4,C20="",D20="",F20=""),"Eksik giriş",IF(COUNTIFS('Özet'!$B$10:$E$10,B20)&lt;&gt;1,"Dönem yok / tekrar",IF(OR(E20&lt;0,G20&lt;0),"Negatif giriş","Uygun"))))</f>
      </c>
    </row>
    <row r="21" ht="24" customHeight="1">
      <c r="A21" s="8"/>
      <c r="B21" s="7"/>
      <c r="C21" s="7"/>
      <c r="D21" s="7"/>
      <c r="E21" s="40"/>
      <c r="F21" s="7"/>
      <c r="G21" s="40"/>
      <c r="H21" s="20" t="str">
        <f>IF(COUNTA(A21:G21)=0,"",IF(COUNT(E21,G21)&lt;2,"Eksik giriş",ROUND(E21*G21,2)))</f>
      </c>
      <c r="I21" s="39" t="str">
        <f>IF(COUNTA(A21:G21)=0,"",IF(OR(COUNT(A21,B21,E21,G21)&lt;4,C21="",D21="",F21=""),"Eksik giriş",IF(COUNTIFS('Özet'!$B$10:$E$10,B21)&lt;&gt;1,"Dönem yok / tekrar",IF(OR(E21&lt;0,G21&lt;0),"Negatif giriş","Uygun"))))</f>
      </c>
    </row>
    <row r="22" ht="24" customHeight="1">
      <c r="A22" s="8"/>
      <c r="B22" s="7"/>
      <c r="C22" s="7"/>
      <c r="D22" s="7"/>
      <c r="E22" s="40"/>
      <c r="F22" s="7"/>
      <c r="G22" s="40"/>
      <c r="H22" s="20" t="str">
        <f>IF(COUNTA(A22:G22)=0,"",IF(COUNT(E22,G22)&lt;2,"Eksik giriş",ROUND(E22*G22,2)))</f>
      </c>
      <c r="I22" s="39" t="str">
        <f>IF(COUNTA(A22:G22)=0,"",IF(OR(COUNT(A22,B22,E22,G22)&lt;4,C22="",D22="",F22=""),"Eksik giriş",IF(COUNTIFS('Özet'!$B$10:$E$10,B22)&lt;&gt;1,"Dönem yok / tekrar",IF(OR(E22&lt;0,G22&lt;0),"Negatif giriş","Uygun"))))</f>
      </c>
    </row>
    <row r="23" ht="24" customHeight="1">
      <c r="A23" s="8"/>
      <c r="B23" s="7"/>
      <c r="C23" s="7"/>
      <c r="D23" s="7"/>
      <c r="E23" s="40"/>
      <c r="F23" s="7"/>
      <c r="G23" s="40"/>
      <c r="H23" s="20" t="str">
        <f>IF(COUNTA(A23:G23)=0,"",IF(COUNT(E23,G23)&lt;2,"Eksik giriş",ROUND(E23*G23,2)))</f>
      </c>
      <c r="I23" s="39" t="str">
        <f>IF(COUNTA(A23:G23)=0,"",IF(OR(COUNT(A23,B23,E23,G23)&lt;4,C23="",D23="",F23=""),"Eksik giriş",IF(COUNTIFS('Özet'!$B$10:$E$10,B23)&lt;&gt;1,"Dönem yok / tekrar",IF(OR(E23&lt;0,G23&lt;0),"Negatif giriş","Uygun"))))</f>
      </c>
    </row>
    <row r="24" ht="24" customHeight="1">
      <c r="A24" s="8"/>
      <c r="B24" s="7"/>
      <c r="C24" s="7"/>
      <c r="D24" s="7"/>
      <c r="E24" s="40"/>
      <c r="F24" s="7"/>
      <c r="G24" s="40"/>
      <c r="H24" s="20" t="str">
        <f>IF(COUNTA(A24:G24)=0,"",IF(COUNT(E24,G24)&lt;2,"Eksik giriş",ROUND(E24*G24,2)))</f>
      </c>
      <c r="I24" s="39" t="str">
        <f>IF(COUNTA(A24:G24)=0,"",IF(OR(COUNT(A24,B24,E24,G24)&lt;4,C24="",D24="",F24=""),"Eksik giriş",IF(COUNTIFS('Özet'!$B$10:$E$10,B24)&lt;&gt;1,"Dönem yok / tekrar",IF(OR(E24&lt;0,G24&lt;0),"Negatif giriş","Uygun"))))</f>
      </c>
    </row>
    <row r="25" ht="24" customHeight="1">
      <c r="A25" s="8"/>
      <c r="B25" s="7"/>
      <c r="C25" s="7"/>
      <c r="D25" s="7"/>
      <c r="E25" s="40"/>
      <c r="F25" s="7"/>
      <c r="G25" s="40"/>
      <c r="H25" s="20" t="str">
        <f>IF(COUNTA(A25:G25)=0,"",IF(COUNT(E25,G25)&lt;2,"Eksik giriş",ROUND(E25*G25,2)))</f>
      </c>
      <c r="I25" s="39" t="str">
        <f>IF(COUNTA(A25:G25)=0,"",IF(OR(COUNT(A25,B25,E25,G25)&lt;4,C25="",D25="",F25=""),"Eksik giriş",IF(COUNTIFS('Özet'!$B$10:$E$10,B25)&lt;&gt;1,"Dönem yok / tekrar",IF(OR(E25&lt;0,G25&lt;0),"Negatif giriş","Uygun"))))</f>
      </c>
    </row>
    <row r="26" ht="24" customHeight="1">
      <c r="A26" s="8"/>
      <c r="B26" s="7"/>
      <c r="C26" s="7"/>
      <c r="D26" s="7"/>
      <c r="E26" s="40"/>
      <c r="F26" s="7"/>
      <c r="G26" s="40"/>
      <c r="H26" s="20" t="str">
        <f>IF(COUNTA(A26:G26)=0,"",IF(COUNT(E26,G26)&lt;2,"Eksik giriş",ROUND(E26*G26,2)))</f>
      </c>
      <c r="I26" s="39" t="str">
        <f>IF(COUNTA(A26:G26)=0,"",IF(OR(COUNT(A26,B26,E26,G26)&lt;4,C26="",D26="",F26=""),"Eksik giriş",IF(COUNTIFS('Özet'!$B$10:$E$10,B26)&lt;&gt;1,"Dönem yok / tekrar",IF(OR(E26&lt;0,G26&lt;0),"Negatif giriş","Uygun"))))</f>
      </c>
    </row>
    <row r="27" ht="24" customHeight="1">
      <c r="A27" s="8"/>
      <c r="B27" s="7"/>
      <c r="C27" s="7"/>
      <c r="D27" s="7"/>
      <c r="E27" s="40"/>
      <c r="F27" s="7"/>
      <c r="G27" s="40"/>
      <c r="H27" s="20" t="str">
        <f>IF(COUNTA(A27:G27)=0,"",IF(COUNT(E27,G27)&lt;2,"Eksik giriş",ROUND(E27*G27,2)))</f>
      </c>
      <c r="I27" s="39" t="str">
        <f>IF(COUNTA(A27:G27)=0,"",IF(OR(COUNT(A27,B27,E27,G27)&lt;4,C27="",D27="",F27=""),"Eksik giriş",IF(COUNTIFS('Özet'!$B$10:$E$10,B27)&lt;&gt;1,"Dönem yok / tekrar",IF(OR(E27&lt;0,G27&lt;0),"Negatif giriş","Uygun"))))</f>
      </c>
    </row>
    <row r="28" ht="24" customHeight="1">
      <c r="A28" s="8"/>
      <c r="B28" s="7"/>
      <c r="C28" s="7"/>
      <c r="D28" s="7"/>
      <c r="E28" s="40"/>
      <c r="F28" s="7"/>
      <c r="G28" s="40"/>
      <c r="H28" s="20" t="str">
        <f>IF(COUNTA(A28:G28)=0,"",IF(COUNT(E28,G28)&lt;2,"Eksik giriş",ROUND(E28*G28,2)))</f>
      </c>
      <c r="I28" s="39" t="str">
        <f>IF(COUNTA(A28:G28)=0,"",IF(OR(COUNT(A28,B28,E28,G28)&lt;4,C28="",D28="",F28=""),"Eksik giriş",IF(COUNTIFS('Özet'!$B$10:$E$10,B28)&lt;&gt;1,"Dönem yok / tekrar",IF(OR(E28&lt;0,G28&lt;0),"Negatif giriş","Uygun"))))</f>
      </c>
    </row>
    <row r="29" ht="24" customHeight="1">
      <c r="A29" s="8"/>
      <c r="B29" s="7"/>
      <c r="C29" s="7"/>
      <c r="D29" s="7"/>
      <c r="E29" s="40"/>
      <c r="F29" s="7"/>
      <c r="G29" s="40"/>
      <c r="H29" s="20" t="str">
        <f>IF(COUNTA(A29:G29)=0,"",IF(COUNT(E29,G29)&lt;2,"Eksik giriş",ROUND(E29*G29,2)))</f>
      </c>
      <c r="I29" s="39" t="str">
        <f>IF(COUNTA(A29:G29)=0,"",IF(OR(COUNT(A29,B29,E29,G29)&lt;4,C29="",D29="",F29=""),"Eksik giriş",IF(COUNTIFS('Özet'!$B$10:$E$10,B29)&lt;&gt;1,"Dönem yok / tekrar",IF(OR(E29&lt;0,G29&lt;0),"Negatif giriş","Uygun"))))</f>
      </c>
    </row>
    <row r="30" ht="24" customHeight="1">
      <c r="A30" s="8"/>
      <c r="B30" s="7"/>
      <c r="C30" s="7"/>
      <c r="D30" s="7"/>
      <c r="E30" s="40"/>
      <c r="F30" s="7"/>
      <c r="G30" s="40"/>
      <c r="H30" s="20" t="str">
        <f>IF(COUNTA(A30:G30)=0,"",IF(COUNT(E30,G30)&lt;2,"Eksik giriş",ROUND(E30*G30,2)))</f>
      </c>
      <c r="I30" s="39" t="str">
        <f>IF(COUNTA(A30:G30)=0,"",IF(OR(COUNT(A30,B30,E30,G30)&lt;4,C30="",D30="",F30=""),"Eksik giriş",IF(COUNTIFS('Özet'!$B$10:$E$10,B30)&lt;&gt;1,"Dönem yok / tekrar",IF(OR(E30&lt;0,G30&lt;0),"Negatif giriş","Uygun"))))</f>
      </c>
    </row>
    <row r="31" ht="24" customHeight="1">
      <c r="A31" s="8"/>
      <c r="B31" s="7"/>
      <c r="C31" s="7"/>
      <c r="D31" s="7"/>
      <c r="E31" s="40"/>
      <c r="F31" s="7"/>
      <c r="G31" s="40"/>
      <c r="H31" s="20" t="str">
        <f>IF(COUNTA(A31:G31)=0,"",IF(COUNT(E31,G31)&lt;2,"Eksik giriş",ROUND(E31*G31,2)))</f>
      </c>
      <c r="I31" s="39" t="str">
        <f>IF(COUNTA(A31:G31)=0,"",IF(OR(COUNT(A31,B31,E31,G31)&lt;4,C31="",D31="",F31=""),"Eksik giriş",IF(COUNTIFS('Özet'!$B$10:$E$10,B31)&lt;&gt;1,"Dönem yok / tekrar",IF(OR(E31&lt;0,G31&lt;0),"Negatif giriş","Uygun"))))</f>
      </c>
    </row>
    <row r="32" ht="24" customHeight="1">
      <c r="A32" s="8"/>
      <c r="B32" s="7"/>
      <c r="C32" s="7"/>
      <c r="D32" s="7"/>
      <c r="E32" s="40"/>
      <c r="F32" s="7"/>
      <c r="G32" s="40"/>
      <c r="H32" s="20" t="str">
        <f>IF(COUNTA(A32:G32)=0,"",IF(COUNT(E32,G32)&lt;2,"Eksik giriş",ROUND(E32*G32,2)))</f>
      </c>
      <c r="I32" s="39" t="str">
        <f>IF(COUNTA(A32:G32)=0,"",IF(OR(COUNT(A32,B32,E32,G32)&lt;4,C32="",D32="",F32=""),"Eksik giriş",IF(COUNTIFS('Özet'!$B$10:$E$10,B32)&lt;&gt;1,"Dönem yok / tekrar",IF(OR(E32&lt;0,G32&lt;0),"Negatif giriş","Uygun"))))</f>
      </c>
    </row>
    <row r="33" ht="24" customHeight="1">
      <c r="A33" s="8"/>
      <c r="B33" s="7"/>
      <c r="C33" s="7"/>
      <c r="D33" s="7"/>
      <c r="E33" s="40"/>
      <c r="F33" s="7"/>
      <c r="G33" s="40"/>
      <c r="H33" s="20" t="str">
        <f>IF(COUNTA(A33:G33)=0,"",IF(COUNT(E33,G33)&lt;2,"Eksik giriş",ROUND(E33*G33,2)))</f>
      </c>
      <c r="I33" s="39" t="str">
        <f>IF(COUNTA(A33:G33)=0,"",IF(OR(COUNT(A33,B33,E33,G33)&lt;4,C33="",D33="",F33=""),"Eksik giriş",IF(COUNTIFS('Özet'!$B$10:$E$10,B33)&lt;&gt;1,"Dönem yok / tekrar",IF(OR(E33&lt;0,G33&lt;0),"Negatif giriş","Uygun"))))</f>
      </c>
    </row>
    <row r="34" ht="24" customHeight="1">
      <c r="A34" s="8"/>
      <c r="B34" s="7"/>
      <c r="C34" s="7"/>
      <c r="D34" s="7"/>
      <c r="E34" s="40"/>
      <c r="F34" s="7"/>
      <c r="G34" s="40"/>
      <c r="H34" s="20" t="str">
        <f>IF(COUNTA(A34:G34)=0,"",IF(COUNT(E34,G34)&lt;2,"Eksik giriş",ROUND(E34*G34,2)))</f>
      </c>
      <c r="I34" s="39" t="str">
        <f>IF(COUNTA(A34:G34)=0,"",IF(OR(COUNT(A34,B34,E34,G34)&lt;4,C34="",D34="",F34=""),"Eksik giriş",IF(COUNTIFS('Özet'!$B$10:$E$10,B34)&lt;&gt;1,"Dönem yok / tekrar",IF(OR(E34&lt;0,G34&lt;0),"Negatif giriş","Uygun"))))</f>
      </c>
    </row>
    <row r="35" ht="24" customHeight="1">
      <c r="A35" s="8"/>
      <c r="B35" s="7"/>
      <c r="C35" s="7"/>
      <c r="D35" s="7"/>
      <c r="E35" s="40"/>
      <c r="F35" s="7"/>
      <c r="G35" s="40"/>
      <c r="H35" s="20" t="str">
        <f>IF(COUNTA(A35:G35)=0,"",IF(COUNT(E35,G35)&lt;2,"Eksik giriş",ROUND(E35*G35,2)))</f>
      </c>
      <c r="I35" s="39" t="str">
        <f>IF(COUNTA(A35:G35)=0,"",IF(OR(COUNT(A35,B35,E35,G35)&lt;4,C35="",D35="",F35=""),"Eksik giriş",IF(COUNTIFS('Özet'!$B$10:$E$10,B35)&lt;&gt;1,"Dönem yok / tekrar",IF(OR(E35&lt;0,G35&lt;0),"Negatif giriş","Uygun"))))</f>
      </c>
    </row>
    <row r="36" ht="24" customHeight="1">
      <c r="A36" s="8"/>
      <c r="B36" s="7"/>
      <c r="C36" s="7"/>
      <c r="D36" s="7"/>
      <c r="E36" s="40"/>
      <c r="F36" s="7"/>
      <c r="G36" s="40"/>
      <c r="H36" s="20" t="str">
        <f>IF(COUNTA(A36:G36)=0,"",IF(COUNT(E36,G36)&lt;2,"Eksik giriş",ROUND(E36*G36,2)))</f>
      </c>
      <c r="I36" s="39" t="str">
        <f>IF(COUNTA(A36:G36)=0,"",IF(OR(COUNT(A36,B36,E36,G36)&lt;4,C36="",D36="",F36=""),"Eksik giriş",IF(COUNTIFS('Özet'!$B$10:$E$10,B36)&lt;&gt;1,"Dönem yok / tekrar",IF(OR(E36&lt;0,G36&lt;0),"Negatif giriş","Uygun"))))</f>
      </c>
    </row>
    <row r="37" ht="24" customHeight="1">
      <c r="A37" s="8"/>
      <c r="B37" s="7"/>
      <c r="C37" s="7"/>
      <c r="D37" s="7"/>
      <c r="E37" s="40"/>
      <c r="F37" s="7"/>
      <c r="G37" s="40"/>
      <c r="H37" s="20" t="str">
        <f>IF(COUNTA(A37:G37)=0,"",IF(COUNT(E37,G37)&lt;2,"Eksik giriş",ROUND(E37*G37,2)))</f>
      </c>
      <c r="I37" s="39" t="str">
        <f>IF(COUNTA(A37:G37)=0,"",IF(OR(COUNT(A37,B37,E37,G37)&lt;4,C37="",D37="",F37=""),"Eksik giriş",IF(COUNTIFS('Özet'!$B$10:$E$10,B37)&lt;&gt;1,"Dönem yok / tekrar",IF(OR(E37&lt;0,G37&lt;0),"Negatif giriş","Uygun"))))</f>
      </c>
    </row>
    <row r="38" ht="24" customHeight="1">
      <c r="A38" s="8"/>
      <c r="B38" s="7"/>
      <c r="C38" s="7"/>
      <c r="D38" s="7"/>
      <c r="E38" s="40"/>
      <c r="F38" s="7"/>
      <c r="G38" s="40"/>
      <c r="H38" s="20" t="str">
        <f>IF(COUNTA(A38:G38)=0,"",IF(COUNT(E38,G38)&lt;2,"Eksik giriş",ROUND(E38*G38,2)))</f>
      </c>
      <c r="I38" s="39" t="str">
        <f>IF(COUNTA(A38:G38)=0,"",IF(OR(COUNT(A38,B38,E38,G38)&lt;4,C38="",D38="",F38=""),"Eksik giriş",IF(COUNTIFS('Özet'!$B$10:$E$10,B38)&lt;&gt;1,"Dönem yok / tekrar",IF(OR(E38&lt;0,G38&lt;0),"Negatif giriş","Uygun"))))</f>
      </c>
    </row>
    <row r="39" ht="24" customHeight="1">
      <c r="A39" s="8"/>
      <c r="B39" s="7"/>
      <c r="C39" s="7"/>
      <c r="D39" s="7"/>
      <c r="E39" s="40"/>
      <c r="F39" s="7"/>
      <c r="G39" s="40"/>
      <c r="H39" s="20" t="str">
        <f>IF(COUNTA(A39:G39)=0,"",IF(COUNT(E39,G39)&lt;2,"Eksik giriş",ROUND(E39*G39,2)))</f>
      </c>
      <c r="I39" s="39" t="str">
        <f>IF(COUNTA(A39:G39)=0,"",IF(OR(COUNT(A39,B39,E39,G39)&lt;4,C39="",D39="",F39=""),"Eksik giriş",IF(COUNTIFS('Özet'!$B$10:$E$10,B39)&lt;&gt;1,"Dönem yok / tekrar",IF(OR(E39&lt;0,G39&lt;0),"Negatif giriş","Uygun"))))</f>
      </c>
    </row>
    <row r="40" ht="24" customHeight="1">
      <c r="A40" s="8"/>
      <c r="B40" s="7"/>
      <c r="C40" s="7"/>
      <c r="D40" s="7"/>
      <c r="E40" s="40"/>
      <c r="F40" s="7"/>
      <c r="G40" s="40"/>
      <c r="H40" s="20" t="str">
        <f>IF(COUNTA(A40:G40)=0,"",IF(COUNT(E40,G40)&lt;2,"Eksik giriş",ROUND(E40*G40,2)))</f>
      </c>
      <c r="I40" s="39" t="str">
        <f>IF(COUNTA(A40:G40)=0,"",IF(OR(COUNT(A40,B40,E40,G40)&lt;4,C40="",D40="",F40=""),"Eksik giriş",IF(COUNTIFS('Özet'!$B$10:$E$10,B40)&lt;&gt;1,"Dönem yok / tekrar",IF(OR(E40&lt;0,G40&lt;0),"Negatif giriş","Uygun"))))</f>
      </c>
    </row>
    <row r="41" ht="24" customHeight="1">
      <c r="A41" s="8"/>
      <c r="B41" s="7"/>
      <c r="C41" s="7"/>
      <c r="D41" s="7"/>
      <c r="E41" s="40"/>
      <c r="F41" s="7"/>
      <c r="G41" s="40"/>
      <c r="H41" s="20" t="str">
        <f>IF(COUNTA(A41:G41)=0,"",IF(COUNT(E41,G41)&lt;2,"Eksik giriş",ROUND(E41*G41,2)))</f>
      </c>
      <c r="I41" s="39" t="str">
        <f>IF(COUNTA(A41:G41)=0,"",IF(OR(COUNT(A41,B41,E41,G41)&lt;4,C41="",D41="",F41=""),"Eksik giriş",IF(COUNTIFS('Özet'!$B$10:$E$10,B41)&lt;&gt;1,"Dönem yok / tekrar",IF(OR(E41&lt;0,G41&lt;0),"Negatif giriş","Uygun"))))</f>
      </c>
    </row>
    <row r="42" ht="24" customHeight="1">
      <c r="A42" s="8"/>
      <c r="B42" s="7"/>
      <c r="C42" s="7"/>
      <c r="D42" s="7"/>
      <c r="E42" s="40"/>
      <c r="F42" s="7"/>
      <c r="G42" s="40"/>
      <c r="H42" s="20" t="str">
        <f>IF(COUNTA(A42:G42)=0,"",IF(COUNT(E42,G42)&lt;2,"Eksik giriş",ROUND(E42*G42,2)))</f>
      </c>
      <c r="I42" s="39" t="str">
        <f>IF(COUNTA(A42:G42)=0,"",IF(OR(COUNT(A42,B42,E42,G42)&lt;4,C42="",D42="",F42=""),"Eksik giriş",IF(COUNTIFS('Özet'!$B$10:$E$10,B42)&lt;&gt;1,"Dönem yok / tekrar",IF(OR(E42&lt;0,G42&lt;0),"Negatif giriş","Uygun"))))</f>
      </c>
    </row>
    <row r="43" ht="24" customHeight="1">
      <c r="A43" s="8"/>
      <c r="B43" s="7"/>
      <c r="C43" s="7"/>
      <c r="D43" s="7"/>
      <c r="E43" s="40"/>
      <c r="F43" s="7"/>
      <c r="G43" s="40"/>
      <c r="H43" s="20" t="str">
        <f>IF(COUNTA(A43:G43)=0,"",IF(COUNT(E43,G43)&lt;2,"Eksik giriş",ROUND(E43*G43,2)))</f>
      </c>
      <c r="I43" s="39" t="str">
        <f>IF(COUNTA(A43:G43)=0,"",IF(OR(COUNT(A43,B43,E43,G43)&lt;4,C43="",D43="",F43=""),"Eksik giriş",IF(COUNTIFS('Özet'!$B$10:$E$10,B43)&lt;&gt;1,"Dönem yok / tekrar",IF(OR(E43&lt;0,G43&lt;0),"Negatif giriş","Uygun"))))</f>
      </c>
    </row>
    <row r="44" ht="24" customHeight="1">
      <c r="A44" s="8"/>
      <c r="B44" s="7"/>
      <c r="C44" s="7"/>
      <c r="D44" s="7"/>
      <c r="E44" s="40"/>
      <c r="F44" s="7"/>
      <c r="G44" s="40"/>
      <c r="H44" s="20" t="str">
        <f>IF(COUNTA(A44:G44)=0,"",IF(COUNT(E44,G44)&lt;2,"Eksik giriş",ROUND(E44*G44,2)))</f>
      </c>
      <c r="I44" s="39" t="str">
        <f>IF(COUNTA(A44:G44)=0,"",IF(OR(COUNT(A44,B44,E44,G44)&lt;4,C44="",D44="",F44=""),"Eksik giriş",IF(COUNTIFS('Özet'!$B$10:$E$10,B44)&lt;&gt;1,"Dönem yok / tekrar",IF(OR(E44&lt;0,G44&lt;0),"Negatif giriş","Uygun"))))</f>
      </c>
    </row>
    <row r="45" ht="24" customHeight="1">
      <c r="A45" s="8"/>
      <c r="B45" s="7"/>
      <c r="C45" s="7"/>
      <c r="D45" s="7"/>
      <c r="E45" s="40"/>
      <c r="F45" s="7"/>
      <c r="G45" s="40"/>
      <c r="H45" s="20" t="str">
        <f>IF(COUNTA(A45:G45)=0,"",IF(COUNT(E45,G45)&lt;2,"Eksik giriş",ROUND(E45*G45,2)))</f>
      </c>
      <c r="I45" s="39" t="str">
        <f>IF(COUNTA(A45:G45)=0,"",IF(OR(COUNT(A45,B45,E45,G45)&lt;4,C45="",D45="",F45=""),"Eksik giriş",IF(COUNTIFS('Özet'!$B$10:$E$10,B45)&lt;&gt;1,"Dönem yok / tekrar",IF(OR(E45&lt;0,G45&lt;0),"Negatif giriş","Uygun"))))</f>
      </c>
    </row>
    <row r="46" ht="24" customHeight="1">
      <c r="A46" s="8"/>
      <c r="B46" s="7"/>
      <c r="C46" s="7"/>
      <c r="D46" s="7"/>
      <c r="E46" s="40"/>
      <c r="F46" s="7"/>
      <c r="G46" s="40"/>
      <c r="H46" s="20" t="str">
        <f>IF(COUNTA(A46:G46)=0,"",IF(COUNT(E46,G46)&lt;2,"Eksik giriş",ROUND(E46*G46,2)))</f>
      </c>
      <c r="I46" s="39" t="str">
        <f>IF(COUNTA(A46:G46)=0,"",IF(OR(COUNT(A46,B46,E46,G46)&lt;4,C46="",D46="",F46=""),"Eksik giriş",IF(COUNTIFS('Özet'!$B$10:$E$10,B46)&lt;&gt;1,"Dönem yok / tekrar",IF(OR(E46&lt;0,G46&lt;0),"Negatif giriş","Uygun"))))</f>
      </c>
    </row>
    <row r="47" ht="24" customHeight="1">
      <c r="A47" s="8"/>
      <c r="B47" s="7"/>
      <c r="C47" s="7"/>
      <c r="D47" s="7"/>
      <c r="E47" s="40"/>
      <c r="F47" s="7"/>
      <c r="G47" s="40"/>
      <c r="H47" s="20" t="str">
        <f>IF(COUNTA(A47:G47)=0,"",IF(COUNT(E47,G47)&lt;2,"Eksik giriş",ROUND(E47*G47,2)))</f>
      </c>
      <c r="I47" s="39" t="str">
        <f>IF(COUNTA(A47:G47)=0,"",IF(OR(COUNT(A47,B47,E47,G47)&lt;4,C47="",D47="",F47=""),"Eksik giriş",IF(COUNTIFS('Özet'!$B$10:$E$10,B47)&lt;&gt;1,"Dönem yok / tekrar",IF(OR(E47&lt;0,G47&lt;0),"Negatif giriş","Uygun"))))</f>
      </c>
    </row>
    <row r="48" ht="24" customHeight="1">
      <c r="A48" s="8"/>
      <c r="B48" s="7"/>
      <c r="C48" s="7"/>
      <c r="D48" s="7"/>
      <c r="E48" s="40"/>
      <c r="F48" s="7"/>
      <c r="G48" s="40"/>
      <c r="H48" s="20" t="str">
        <f>IF(COUNTA(A48:G48)=0,"",IF(COUNT(E48,G48)&lt;2,"Eksik giriş",ROUND(E48*G48,2)))</f>
      </c>
      <c r="I48" s="39" t="str">
        <f>IF(COUNTA(A48:G48)=0,"",IF(OR(COUNT(A48,B48,E48,G48)&lt;4,C48="",D48="",F48=""),"Eksik giriş",IF(COUNTIFS('Özet'!$B$10:$E$10,B48)&lt;&gt;1,"Dönem yok / tekrar",IF(OR(E48&lt;0,G48&lt;0),"Negatif giriş","Uygun"))))</f>
      </c>
    </row>
    <row r="49" ht="24" customHeight="1">
      <c r="A49" s="8"/>
      <c r="B49" s="7"/>
      <c r="C49" s="7"/>
      <c r="D49" s="7"/>
      <c r="E49" s="40"/>
      <c r="F49" s="7"/>
      <c r="G49" s="40"/>
      <c r="H49" s="20" t="str">
        <f>IF(COUNTA(A49:G49)=0,"",IF(COUNT(E49,G49)&lt;2,"Eksik giriş",ROUND(E49*G49,2)))</f>
      </c>
      <c r="I49" s="39" t="str">
        <f>IF(COUNTA(A49:G49)=0,"",IF(OR(COUNT(A49,B49,E49,G49)&lt;4,C49="",D49="",F49=""),"Eksik giriş",IF(COUNTIFS('Özet'!$B$10:$E$10,B49)&lt;&gt;1,"Dönem yok / tekrar",IF(OR(E49&lt;0,G49&lt;0),"Negatif giriş","Uygun"))))</f>
      </c>
    </row>
    <row r="50" ht="24" customHeight="1">
      <c r="A50" s="8"/>
      <c r="B50" s="7"/>
      <c r="C50" s="7"/>
      <c r="D50" s="7"/>
      <c r="E50" s="40"/>
      <c r="F50" s="7"/>
      <c r="G50" s="40"/>
      <c r="H50" s="20" t="str">
        <f>IF(COUNTA(A50:G50)=0,"",IF(COUNT(E50,G50)&lt;2,"Eksik giriş",ROUND(E50*G50,2)))</f>
      </c>
      <c r="I50" s="39" t="str">
        <f>IF(COUNTA(A50:G50)=0,"",IF(OR(COUNT(A50,B50,E50,G50)&lt;4,C50="",D50="",F50=""),"Eksik giriş",IF(COUNTIFS('Özet'!$B$10:$E$10,B50)&lt;&gt;1,"Dönem yok / tekrar",IF(OR(E50&lt;0,G50&lt;0),"Negatif giriş","Uygun"))))</f>
      </c>
    </row>
    <row r="51" ht="24" customHeight="1">
      <c r="A51" s="8"/>
      <c r="B51" s="7"/>
      <c r="C51" s="7"/>
      <c r="D51" s="7"/>
      <c r="E51" s="40"/>
      <c r="F51" s="7"/>
      <c r="G51" s="40"/>
      <c r="H51" s="20" t="str">
        <f>IF(COUNTA(A51:G51)=0,"",IF(COUNT(E51,G51)&lt;2,"Eksik giriş",ROUND(E51*G51,2)))</f>
      </c>
      <c r="I51" s="39" t="str">
        <f>IF(COUNTA(A51:G51)=0,"",IF(OR(COUNT(A51,B51,E51,G51)&lt;4,C51="",D51="",F51=""),"Eksik giriş",IF(COUNTIFS('Özet'!$B$10:$E$10,B51)&lt;&gt;1,"Dönem yok / tekrar",IF(OR(E51&lt;0,G51&lt;0),"Negatif giriş","Uygun"))))</f>
      </c>
    </row>
    <row r="52" ht="24" customHeight="1">
      <c r="A52" s="8"/>
      <c r="B52" s="7"/>
      <c r="C52" s="7"/>
      <c r="D52" s="7"/>
      <c r="E52" s="40"/>
      <c r="F52" s="7"/>
      <c r="G52" s="40"/>
      <c r="H52" s="20" t="str">
        <f>IF(COUNTA(A52:G52)=0,"",IF(COUNT(E52,G52)&lt;2,"Eksik giriş",ROUND(E52*G52,2)))</f>
      </c>
      <c r="I52" s="39" t="str">
        <f>IF(COUNTA(A52:G52)=0,"",IF(OR(COUNT(A52,B52,E52,G52)&lt;4,C52="",D52="",F52=""),"Eksik giriş",IF(COUNTIFS('Özet'!$B$10:$E$10,B52)&lt;&gt;1,"Dönem yok / tekrar",IF(OR(E52&lt;0,G52&lt;0),"Negatif giriş","Uygun"))))</f>
      </c>
    </row>
    <row r="53" ht="24" customHeight="1">
      <c r="A53" s="8"/>
      <c r="B53" s="7"/>
      <c r="C53" s="7"/>
      <c r="D53" s="7"/>
      <c r="E53" s="40"/>
      <c r="F53" s="7"/>
      <c r="G53" s="40"/>
      <c r="H53" s="20" t="str">
        <f>IF(COUNTA(A53:G53)=0,"",IF(COUNT(E53,G53)&lt;2,"Eksik giriş",ROUND(E53*G53,2)))</f>
      </c>
      <c r="I53" s="39" t="str">
        <f>IF(COUNTA(A53:G53)=0,"",IF(OR(COUNT(A53,B53,E53,G53)&lt;4,C53="",D53="",F53=""),"Eksik giriş",IF(COUNTIFS('Özet'!$B$10:$E$10,B53)&lt;&gt;1,"Dönem yok / tekrar",IF(OR(E53&lt;0,G53&lt;0),"Negatif giriş","Uygun"))))</f>
      </c>
    </row>
    <row r="54" ht="24" customHeight="1">
      <c r="A54" s="8"/>
      <c r="B54" s="7"/>
      <c r="C54" s="7"/>
      <c r="D54" s="7"/>
      <c r="E54" s="40"/>
      <c r="F54" s="7"/>
      <c r="G54" s="40"/>
      <c r="H54" s="20" t="str">
        <f>IF(COUNTA(A54:G54)=0,"",IF(COUNT(E54,G54)&lt;2,"Eksik giriş",ROUND(E54*G54,2)))</f>
      </c>
      <c r="I54" s="39" t="str">
        <f>IF(COUNTA(A54:G54)=0,"",IF(OR(COUNT(A54,B54,E54,G54)&lt;4,C54="",D54="",F54=""),"Eksik giriş",IF(COUNTIFS('Özet'!$B$10:$E$10,B54)&lt;&gt;1,"Dönem yok / tekrar",IF(OR(E54&lt;0,G54&lt;0),"Negatif giriş","Uygun"))))</f>
      </c>
    </row>
    <row r="55" ht="24" customHeight="1">
      <c r="A55" s="8"/>
      <c r="B55" s="7"/>
      <c r="C55" s="7"/>
      <c r="D55" s="7"/>
      <c r="E55" s="40"/>
      <c r="F55" s="7"/>
      <c r="G55" s="40"/>
      <c r="H55" s="20" t="str">
        <f>IF(COUNTA(A55:G55)=0,"",IF(COUNT(E55,G55)&lt;2,"Eksik giriş",ROUND(E55*G55,2)))</f>
      </c>
      <c r="I55" s="39" t="str">
        <f>IF(COUNTA(A55:G55)=0,"",IF(OR(COUNT(A55,B55,E55,G55)&lt;4,C55="",D55="",F55=""),"Eksik giriş",IF(COUNTIFS('Özet'!$B$10:$E$10,B55)&lt;&gt;1,"Dönem yok / tekrar",IF(OR(E55&lt;0,G55&lt;0),"Negatif giriş","Uygun"))))</f>
      </c>
    </row>
    <row r="56" ht="24" customHeight="1">
      <c r="A56" s="8"/>
      <c r="B56" s="7"/>
      <c r="C56" s="7"/>
      <c r="D56" s="7"/>
      <c r="E56" s="40"/>
      <c r="F56" s="7"/>
      <c r="G56" s="40"/>
      <c r="H56" s="20" t="str">
        <f>IF(COUNTA(A56:G56)=0,"",IF(COUNT(E56,G56)&lt;2,"Eksik giriş",ROUND(E56*G56,2)))</f>
      </c>
      <c r="I56" s="39" t="str">
        <f>IF(COUNTA(A56:G56)=0,"",IF(OR(COUNT(A56,B56,E56,G56)&lt;4,C56="",D56="",F56=""),"Eksik giriş",IF(COUNTIFS('Özet'!$B$10:$E$10,B56)&lt;&gt;1,"Dönem yok / tekrar",IF(OR(E56&lt;0,G56&lt;0),"Negatif giriş","Uygun"))))</f>
      </c>
    </row>
    <row r="57" ht="24" customHeight="1">
      <c r="A57" s="8"/>
      <c r="B57" s="7"/>
      <c r="C57" s="7"/>
      <c r="D57" s="7"/>
      <c r="E57" s="40"/>
      <c r="F57" s="7"/>
      <c r="G57" s="40"/>
      <c r="H57" s="20" t="str">
        <f>IF(COUNTA(A57:G57)=0,"",IF(COUNT(E57,G57)&lt;2,"Eksik giriş",ROUND(E57*G57,2)))</f>
      </c>
      <c r="I57" s="39" t="str">
        <f>IF(COUNTA(A57:G57)=0,"",IF(OR(COUNT(A57,B57,E57,G57)&lt;4,C57="",D57="",F57=""),"Eksik giriş",IF(COUNTIFS('Özet'!$B$10:$E$10,B57)&lt;&gt;1,"Dönem yok / tekrar",IF(OR(E57&lt;0,G57&lt;0),"Negatif giriş","Uygun"))))</f>
      </c>
    </row>
    <row r="58" ht="24" customHeight="1">
      <c r="A58" s="8"/>
      <c r="B58" s="7"/>
      <c r="C58" s="7"/>
      <c r="D58" s="7"/>
      <c r="E58" s="40"/>
      <c r="F58" s="7"/>
      <c r="G58" s="40"/>
      <c r="H58" s="20" t="str">
        <f>IF(COUNTA(A58:G58)=0,"",IF(COUNT(E58,G58)&lt;2,"Eksik giriş",ROUND(E58*G58,2)))</f>
      </c>
      <c r="I58" s="39" t="str">
        <f>IF(COUNTA(A58:G58)=0,"",IF(OR(COUNT(A58,B58,E58,G58)&lt;4,C58="",D58="",F58=""),"Eksik giriş",IF(COUNTIFS('Özet'!$B$10:$E$10,B58)&lt;&gt;1,"Dönem yok / tekrar",IF(OR(E58&lt;0,G58&lt;0),"Negatif giriş","Uygun"))))</f>
      </c>
    </row>
    <row r="59" ht="24" customHeight="1">
      <c r="A59" s="8"/>
      <c r="B59" s="7"/>
      <c r="C59" s="7"/>
      <c r="D59" s="7"/>
      <c r="E59" s="40"/>
      <c r="F59" s="7"/>
      <c r="G59" s="40"/>
      <c r="H59" s="20" t="str">
        <f>IF(COUNTA(A59:G59)=0,"",IF(COUNT(E59,G59)&lt;2,"Eksik giriş",ROUND(E59*G59,2)))</f>
      </c>
      <c r="I59" s="39" t="str">
        <f>IF(COUNTA(A59:G59)=0,"",IF(OR(COUNT(A59,B59,E59,G59)&lt;4,C59="",D59="",F59=""),"Eksik giriş",IF(COUNTIFS('Özet'!$B$10:$E$10,B59)&lt;&gt;1,"Dönem yok / tekrar",IF(OR(E59&lt;0,G59&lt;0),"Negatif giriş","Uygun"))))</f>
      </c>
    </row>
    <row r="60" ht="24" customHeight="1">
      <c r="A60" s="8"/>
      <c r="B60" s="7"/>
      <c r="C60" s="7"/>
      <c r="D60" s="7"/>
      <c r="E60" s="40"/>
      <c r="F60" s="7"/>
      <c r="G60" s="40"/>
      <c r="H60" s="20" t="str">
        <f>IF(COUNTA(A60:G60)=0,"",IF(COUNT(E60,G60)&lt;2,"Eksik giriş",ROUND(E60*G60,2)))</f>
      </c>
      <c r="I60" s="39" t="str">
        <f>IF(COUNTA(A60:G60)=0,"",IF(OR(COUNT(A60,B60,E60,G60)&lt;4,C60="",D60="",F60=""),"Eksik giriş",IF(COUNTIFS('Özet'!$B$10:$E$10,B60)&lt;&gt;1,"Dönem yok / tekrar",IF(OR(E60&lt;0,G60&lt;0),"Negatif giriş","Uygun"))))</f>
      </c>
    </row>
    <row r="61" ht="24" customHeight="1">
      <c r="A61" s="8"/>
      <c r="B61" s="7"/>
      <c r="C61" s="7"/>
      <c r="D61" s="7"/>
      <c r="E61" s="40"/>
      <c r="F61" s="7"/>
      <c r="G61" s="40"/>
      <c r="H61" s="20" t="str">
        <f>IF(COUNTA(A61:G61)=0,"",IF(COUNT(E61,G61)&lt;2,"Eksik giriş",ROUND(E61*G61,2)))</f>
      </c>
      <c r="I61" s="39" t="str">
        <f>IF(COUNTA(A61:G61)=0,"",IF(OR(COUNT(A61,B61,E61,G61)&lt;4,C61="",D61="",F61=""),"Eksik giriş",IF(COUNTIFS('Özet'!$B$10:$E$10,B61)&lt;&gt;1,"Dönem yok / tekrar",IF(OR(E61&lt;0,G61&lt;0),"Negatif giriş","Uygun"))))</f>
      </c>
    </row>
    <row r="62" ht="24" customHeight="1">
      <c r="A62" s="8"/>
      <c r="B62" s="7"/>
      <c r="C62" s="7"/>
      <c r="D62" s="7"/>
      <c r="E62" s="40"/>
      <c r="F62" s="7"/>
      <c r="G62" s="40"/>
      <c r="H62" s="20" t="str">
        <f>IF(COUNTA(A62:G62)=0,"",IF(COUNT(E62,G62)&lt;2,"Eksik giriş",ROUND(E62*G62,2)))</f>
      </c>
      <c r="I62" s="39" t="str">
        <f>IF(COUNTA(A62:G62)=0,"",IF(OR(COUNT(A62,B62,E62,G62)&lt;4,C62="",D62="",F62=""),"Eksik giriş",IF(COUNTIFS('Özet'!$B$10:$E$10,B62)&lt;&gt;1,"Dönem yok / tekrar",IF(OR(E62&lt;0,G62&lt;0),"Negatif giriş","Uygun"))))</f>
      </c>
    </row>
    <row r="63" ht="24" customHeight="1">
      <c r="A63" s="8"/>
      <c r="B63" s="7"/>
      <c r="C63" s="7"/>
      <c r="D63" s="7"/>
      <c r="E63" s="40"/>
      <c r="F63" s="7"/>
      <c r="G63" s="40"/>
      <c r="H63" s="20" t="str">
        <f>IF(COUNTA(A63:G63)=0,"",IF(COUNT(E63,G63)&lt;2,"Eksik giriş",ROUND(E63*G63,2)))</f>
      </c>
      <c r="I63" s="39" t="str">
        <f>IF(COUNTA(A63:G63)=0,"",IF(OR(COUNT(A63,B63,E63,G63)&lt;4,C63="",D63="",F63=""),"Eksik giriş",IF(COUNTIFS('Özet'!$B$10:$E$10,B63)&lt;&gt;1,"Dönem yok / tekrar",IF(OR(E63&lt;0,G63&lt;0),"Negatif giriş","Uygun"))))</f>
      </c>
    </row>
    <row r="64" ht="24" customHeight="1">
      <c r="A64" s="8"/>
      <c r="B64" s="7"/>
      <c r="C64" s="7"/>
      <c r="D64" s="7"/>
      <c r="E64" s="40"/>
      <c r="F64" s="7"/>
      <c r="G64" s="40"/>
      <c r="H64" s="20" t="str">
        <f>IF(COUNTA(A64:G64)=0,"",IF(COUNT(E64,G64)&lt;2,"Eksik giriş",ROUND(E64*G64,2)))</f>
      </c>
      <c r="I64" s="39" t="str">
        <f>IF(COUNTA(A64:G64)=0,"",IF(OR(COUNT(A64,B64,E64,G64)&lt;4,C64="",D64="",F64=""),"Eksik giriş",IF(COUNTIFS('Özet'!$B$10:$E$10,B64)&lt;&gt;1,"Dönem yok / tekrar",IF(OR(E64&lt;0,G64&lt;0),"Negatif giriş","Uygun"))))</f>
      </c>
    </row>
    <row r="65" ht="24" customHeight="1">
      <c r="A65" s="8"/>
      <c r="B65" s="7"/>
      <c r="C65" s="7"/>
      <c r="D65" s="7"/>
      <c r="E65" s="40"/>
      <c r="F65" s="7"/>
      <c r="G65" s="40"/>
      <c r="H65" s="20" t="str">
        <f>IF(COUNTA(A65:G65)=0,"",IF(COUNT(E65,G65)&lt;2,"Eksik giriş",ROUND(E65*G65,2)))</f>
      </c>
      <c r="I65" s="39" t="str">
        <f>IF(COUNTA(A65:G65)=0,"",IF(OR(COUNT(A65,B65,E65,G65)&lt;4,C65="",D65="",F65=""),"Eksik giriş",IF(COUNTIFS('Özet'!$B$10:$E$10,B65)&lt;&gt;1,"Dönem yok / tekrar",IF(OR(E65&lt;0,G65&lt;0),"Negatif giriş","Uygun"))))</f>
      </c>
    </row>
    <row r="66" ht="24" customHeight="1">
      <c r="A66" s="8"/>
      <c r="B66" s="7"/>
      <c r="C66" s="7"/>
      <c r="D66" s="7"/>
      <c r="E66" s="40"/>
      <c r="F66" s="7"/>
      <c r="G66" s="40"/>
      <c r="H66" s="20" t="str">
        <f>IF(COUNTA(A66:G66)=0,"",IF(COUNT(E66,G66)&lt;2,"Eksik giriş",ROUND(E66*G66,2)))</f>
      </c>
      <c r="I66" s="39" t="str">
        <f>IF(COUNTA(A66:G66)=0,"",IF(OR(COUNT(A66,B66,E66,G66)&lt;4,C66="",D66="",F66=""),"Eksik giriş",IF(COUNTIFS('Özet'!$B$10:$E$10,B66)&lt;&gt;1,"Dönem yok / tekrar",IF(OR(E66&lt;0,G66&lt;0),"Negatif giriş","Uygun"))))</f>
      </c>
    </row>
    <row r="67" ht="24" customHeight="1">
      <c r="A67" s="8"/>
      <c r="B67" s="7"/>
      <c r="C67" s="7"/>
      <c r="D67" s="7"/>
      <c r="E67" s="40"/>
      <c r="F67" s="7"/>
      <c r="G67" s="40"/>
      <c r="H67" s="20" t="str">
        <f>IF(COUNTA(A67:G67)=0,"",IF(COUNT(E67,G67)&lt;2,"Eksik giriş",ROUND(E67*G67,2)))</f>
      </c>
      <c r="I67" s="39" t="str">
        <f>IF(COUNTA(A67:G67)=0,"",IF(OR(COUNT(A67,B67,E67,G67)&lt;4,C67="",D67="",F67=""),"Eksik giriş",IF(COUNTIFS('Özet'!$B$10:$E$10,B67)&lt;&gt;1,"Dönem yok / tekrar",IF(OR(E67&lt;0,G67&lt;0),"Negatif giriş","Uygun"))))</f>
      </c>
    </row>
    <row r="68" ht="24" customHeight="1">
      <c r="A68" s="8"/>
      <c r="B68" s="7"/>
      <c r="C68" s="7"/>
      <c r="D68" s="7"/>
      <c r="E68" s="40"/>
      <c r="F68" s="7"/>
      <c r="G68" s="40"/>
      <c r="H68" s="20" t="str">
        <f>IF(COUNTA(A68:G68)=0,"",IF(COUNT(E68,G68)&lt;2,"Eksik giriş",ROUND(E68*G68,2)))</f>
      </c>
      <c r="I68" s="39" t="str">
        <f>IF(COUNTA(A68:G68)=0,"",IF(OR(COUNT(A68,B68,E68,G68)&lt;4,C68="",D68="",F68=""),"Eksik giriş",IF(COUNTIFS('Özet'!$B$10:$E$10,B68)&lt;&gt;1,"Dönem yok / tekrar",IF(OR(E68&lt;0,G68&lt;0),"Negatif giriş","Uygun"))))</f>
      </c>
    </row>
    <row r="69" ht="24" customHeight="1">
      <c r="A69" s="8"/>
      <c r="B69" s="7"/>
      <c r="C69" s="7"/>
      <c r="D69" s="7"/>
      <c r="E69" s="40"/>
      <c r="F69" s="7"/>
      <c r="G69" s="40"/>
      <c r="H69" s="20" t="str">
        <f>IF(COUNTA(A69:G69)=0,"",IF(COUNT(E69,G69)&lt;2,"Eksik giriş",ROUND(E69*G69,2)))</f>
      </c>
      <c r="I69" s="39" t="str">
        <f>IF(COUNTA(A69:G69)=0,"",IF(OR(COUNT(A69,B69,E69,G69)&lt;4,C69="",D69="",F69=""),"Eksik giriş",IF(COUNTIFS('Özet'!$B$10:$E$10,B69)&lt;&gt;1,"Dönem yok / tekrar",IF(OR(E69&lt;0,G69&lt;0),"Negatif giriş","Uygun"))))</f>
      </c>
    </row>
    <row r="70" ht="24" customHeight="1">
      <c r="A70" s="8"/>
      <c r="B70" s="7"/>
      <c r="C70" s="7"/>
      <c r="D70" s="7"/>
      <c r="E70" s="40"/>
      <c r="F70" s="7"/>
      <c r="G70" s="40"/>
      <c r="H70" s="20" t="str">
        <f>IF(COUNTA(A70:G70)=0,"",IF(COUNT(E70,G70)&lt;2,"Eksik giriş",ROUND(E70*G70,2)))</f>
      </c>
      <c r="I70" s="39" t="str">
        <f>IF(COUNTA(A70:G70)=0,"",IF(OR(COUNT(A70,B70,E70,G70)&lt;4,C70="",D70="",F70=""),"Eksik giriş",IF(COUNTIFS('Özet'!$B$10:$E$10,B70)&lt;&gt;1,"Dönem yok / tekrar",IF(OR(E70&lt;0,G70&lt;0),"Negatif giriş","Uygun"))))</f>
      </c>
    </row>
    <row r="71" ht="24" customHeight="1">
      <c r="A71" s="8"/>
      <c r="B71" s="7"/>
      <c r="C71" s="7"/>
      <c r="D71" s="7"/>
      <c r="E71" s="40"/>
      <c r="F71" s="7"/>
      <c r="G71" s="40"/>
      <c r="H71" s="20" t="str">
        <f>IF(COUNTA(A71:G71)=0,"",IF(COUNT(E71,G71)&lt;2,"Eksik giriş",ROUND(E71*G71,2)))</f>
      </c>
      <c r="I71" s="39" t="str">
        <f>IF(COUNTA(A71:G71)=0,"",IF(OR(COUNT(A71,B71,E71,G71)&lt;4,C71="",D71="",F71=""),"Eksik giriş",IF(COUNTIFS('Özet'!$B$10:$E$10,B71)&lt;&gt;1,"Dönem yok / tekrar",IF(OR(E71&lt;0,G71&lt;0),"Negatif giriş","Uygun"))))</f>
      </c>
    </row>
    <row r="72" ht="24" customHeight="1">
      <c r="A72" s="8"/>
      <c r="B72" s="7"/>
      <c r="C72" s="7"/>
      <c r="D72" s="7"/>
      <c r="E72" s="40"/>
      <c r="F72" s="7"/>
      <c r="G72" s="40"/>
      <c r="H72" s="20" t="str">
        <f>IF(COUNTA(A72:G72)=0,"",IF(COUNT(E72,G72)&lt;2,"Eksik giriş",ROUND(E72*G72,2)))</f>
      </c>
      <c r="I72" s="39" t="str">
        <f>IF(COUNTA(A72:G72)=0,"",IF(OR(COUNT(A72,B72,E72,G72)&lt;4,C72="",D72="",F72=""),"Eksik giriş",IF(COUNTIFS('Özet'!$B$10:$E$10,B72)&lt;&gt;1,"Dönem yok / tekrar",IF(OR(E72&lt;0,G72&lt;0),"Negatif giriş","Uygun"))))</f>
      </c>
    </row>
    <row r="73" ht="24" customHeight="1">
      <c r="A73" s="8"/>
      <c r="B73" s="7"/>
      <c r="C73" s="7"/>
      <c r="D73" s="7"/>
      <c r="E73" s="40"/>
      <c r="F73" s="7"/>
      <c r="G73" s="40"/>
      <c r="H73" s="20" t="str">
        <f>IF(COUNTA(A73:G73)=0,"",IF(COUNT(E73,G73)&lt;2,"Eksik giriş",ROUND(E73*G73,2)))</f>
      </c>
      <c r="I73" s="39" t="str">
        <f>IF(COUNTA(A73:G73)=0,"",IF(OR(COUNT(A73,B73,E73,G73)&lt;4,C73="",D73="",F73=""),"Eksik giriş",IF(COUNTIFS('Özet'!$B$10:$E$10,B73)&lt;&gt;1,"Dönem yok / tekrar",IF(OR(E73&lt;0,G73&lt;0),"Negatif giriş","Uygun"))))</f>
      </c>
    </row>
    <row r="74" ht="24" customHeight="1">
      <c r="A74" s="8"/>
      <c r="B74" s="7"/>
      <c r="C74" s="7"/>
      <c r="D74" s="7"/>
      <c r="E74" s="40"/>
      <c r="F74" s="7"/>
      <c r="G74" s="40"/>
      <c r="H74" s="20" t="str">
        <f>IF(COUNTA(A74:G74)=0,"",IF(COUNT(E74,G74)&lt;2,"Eksik giriş",ROUND(E74*G74,2)))</f>
      </c>
      <c r="I74" s="39" t="str">
        <f>IF(COUNTA(A74:G74)=0,"",IF(OR(COUNT(A74,B74,E74,G74)&lt;4,C74="",D74="",F74=""),"Eksik giriş",IF(COUNTIFS('Özet'!$B$10:$E$10,B74)&lt;&gt;1,"Dönem yok / tekrar",IF(OR(E74&lt;0,G74&lt;0),"Negatif giriş","Uygun"))))</f>
      </c>
    </row>
    <row r="75" ht="24" customHeight="1">
      <c r="A75" s="8"/>
      <c r="B75" s="7"/>
      <c r="C75" s="7"/>
      <c r="D75" s="7"/>
      <c r="E75" s="40"/>
      <c r="F75" s="7"/>
      <c r="G75" s="40"/>
      <c r="H75" s="20" t="str">
        <f>IF(COUNTA(A75:G75)=0,"",IF(COUNT(E75,G75)&lt;2,"Eksik giriş",ROUND(E75*G75,2)))</f>
      </c>
      <c r="I75" s="39" t="str">
        <f>IF(COUNTA(A75:G75)=0,"",IF(OR(COUNT(A75,B75,E75,G75)&lt;4,C75="",D75="",F75=""),"Eksik giriş",IF(COUNTIFS('Özet'!$B$10:$E$10,B75)&lt;&gt;1,"Dönem yok / tekrar",IF(OR(E75&lt;0,G75&lt;0),"Negatif giriş","Uygun"))))</f>
      </c>
    </row>
    <row r="76" ht="24" customHeight="1">
      <c r="A76" s="8"/>
      <c r="B76" s="7"/>
      <c r="C76" s="7"/>
      <c r="D76" s="7"/>
      <c r="E76" s="40"/>
      <c r="F76" s="7"/>
      <c r="G76" s="40"/>
      <c r="H76" s="20" t="str">
        <f>IF(COUNTA(A76:G76)=0,"",IF(COUNT(E76,G76)&lt;2,"Eksik giriş",ROUND(E76*G76,2)))</f>
      </c>
      <c r="I76" s="39" t="str">
        <f>IF(COUNTA(A76:G76)=0,"",IF(OR(COUNT(A76,B76,E76,G76)&lt;4,C76="",D76="",F76=""),"Eksik giriş",IF(COUNTIFS('Özet'!$B$10:$E$10,B76)&lt;&gt;1,"Dönem yok / tekrar",IF(OR(E76&lt;0,G76&lt;0),"Negatif giriş","Uygun"))))</f>
      </c>
    </row>
    <row r="77" ht="24" customHeight="1">
      <c r="A77" s="8"/>
      <c r="B77" s="7"/>
      <c r="C77" s="7"/>
      <c r="D77" s="7"/>
      <c r="E77" s="40"/>
      <c r="F77" s="7"/>
      <c r="G77" s="40"/>
      <c r="H77" s="20" t="str">
        <f>IF(COUNTA(A77:G77)=0,"",IF(COUNT(E77,G77)&lt;2,"Eksik giriş",ROUND(E77*G77,2)))</f>
      </c>
      <c r="I77" s="39" t="str">
        <f>IF(COUNTA(A77:G77)=0,"",IF(OR(COUNT(A77,B77,E77,G77)&lt;4,C77="",D77="",F77=""),"Eksik giriş",IF(COUNTIFS('Özet'!$B$10:$E$10,B77)&lt;&gt;1,"Dönem yok / tekrar",IF(OR(E77&lt;0,G77&lt;0),"Negatif giriş","Uygun"))))</f>
      </c>
    </row>
    <row r="78" ht="24" customHeight="1">
      <c r="A78" s="8"/>
      <c r="B78" s="7"/>
      <c r="C78" s="7"/>
      <c r="D78" s="7"/>
      <c r="E78" s="40"/>
      <c r="F78" s="7"/>
      <c r="G78" s="40"/>
      <c r="H78" s="20" t="str">
        <f>IF(COUNTA(A78:G78)=0,"",IF(COUNT(E78,G78)&lt;2,"Eksik giriş",ROUND(E78*G78,2)))</f>
      </c>
      <c r="I78" s="39" t="str">
        <f>IF(COUNTA(A78:G78)=0,"",IF(OR(COUNT(A78,B78,E78,G78)&lt;4,C78="",D78="",F78=""),"Eksik giriş",IF(COUNTIFS('Özet'!$B$10:$E$10,B78)&lt;&gt;1,"Dönem yok / tekrar",IF(OR(E78&lt;0,G78&lt;0),"Negatif giriş","Uygun"))))</f>
      </c>
    </row>
    <row r="79" ht="24" customHeight="1">
      <c r="A79" s="8"/>
      <c r="B79" s="7"/>
      <c r="C79" s="7"/>
      <c r="D79" s="7"/>
      <c r="E79" s="40"/>
      <c r="F79" s="7"/>
      <c r="G79" s="40"/>
      <c r="H79" s="20" t="str">
        <f>IF(COUNTA(A79:G79)=0,"",IF(COUNT(E79,G79)&lt;2,"Eksik giriş",ROUND(E79*G79,2)))</f>
      </c>
      <c r="I79" s="39" t="str">
        <f>IF(COUNTA(A79:G79)=0,"",IF(OR(COUNT(A79,B79,E79,G79)&lt;4,C79="",D79="",F79=""),"Eksik giriş",IF(COUNTIFS('Özet'!$B$10:$E$10,B79)&lt;&gt;1,"Dönem yok / tekrar",IF(OR(E79&lt;0,G79&lt;0),"Negatif giriş","Uygun"))))</f>
      </c>
    </row>
    <row r="80" ht="24" customHeight="1">
      <c r="A80" s="8"/>
      <c r="B80" s="7"/>
      <c r="C80" s="7"/>
      <c r="D80" s="7"/>
      <c r="E80" s="40"/>
      <c r="F80" s="7"/>
      <c r="G80" s="40"/>
      <c r="H80" s="20" t="str">
        <f>IF(COUNTA(A80:G80)=0,"",IF(COUNT(E80,G80)&lt;2,"Eksik giriş",ROUND(E80*G80,2)))</f>
      </c>
      <c r="I80" s="39" t="str">
        <f>IF(COUNTA(A80:G80)=0,"",IF(OR(COUNT(A80,B80,E80,G80)&lt;4,C80="",D80="",F80=""),"Eksik giriş",IF(COUNTIFS('Özet'!$B$10:$E$10,B80)&lt;&gt;1,"Dönem yok / tekrar",IF(OR(E80&lt;0,G80&lt;0),"Negatif giriş","Uygun"))))</f>
      </c>
    </row>
    <row r="81" ht="24" customHeight="1">
      <c r="A81" s="8"/>
      <c r="B81" s="7"/>
      <c r="C81" s="7"/>
      <c r="D81" s="7"/>
      <c r="E81" s="40"/>
      <c r="F81" s="7"/>
      <c r="G81" s="40"/>
      <c r="H81" s="20" t="str">
        <f>IF(COUNTA(A81:G81)=0,"",IF(COUNT(E81,G81)&lt;2,"Eksik giriş",ROUND(E81*G81,2)))</f>
      </c>
      <c r="I81" s="39" t="str">
        <f>IF(COUNTA(A81:G81)=0,"",IF(OR(COUNT(A81,B81,E81,G81)&lt;4,C81="",D81="",F81=""),"Eksik giriş",IF(COUNTIFS('Özet'!$B$10:$E$10,B81)&lt;&gt;1,"Dönem yok / tekrar",IF(OR(E81&lt;0,G81&lt;0),"Negatif giriş","Uygun"))))</f>
      </c>
    </row>
    <row r="82" ht="24" customHeight="1">
      <c r="A82" s="8"/>
      <c r="B82" s="7"/>
      <c r="C82" s="7"/>
      <c r="D82" s="7"/>
      <c r="E82" s="40"/>
      <c r="F82" s="7"/>
      <c r="G82" s="40"/>
      <c r="H82" s="20" t="str">
        <f>IF(COUNTA(A82:G82)=0,"",IF(COUNT(E82,G82)&lt;2,"Eksik giriş",ROUND(E82*G82,2)))</f>
      </c>
      <c r="I82" s="39" t="str">
        <f>IF(COUNTA(A82:G82)=0,"",IF(OR(COUNT(A82,B82,E82,G82)&lt;4,C82="",D82="",F82=""),"Eksik giriş",IF(COUNTIFS('Özet'!$B$10:$E$10,B82)&lt;&gt;1,"Dönem yok / tekrar",IF(OR(E82&lt;0,G82&lt;0),"Negatif giriş","Uygun"))))</f>
      </c>
    </row>
    <row r="83" ht="24" customHeight="1">
      <c r="A83" s="8"/>
      <c r="B83" s="7"/>
      <c r="C83" s="7"/>
      <c r="D83" s="7"/>
      <c r="E83" s="40"/>
      <c r="F83" s="7"/>
      <c r="G83" s="40"/>
      <c r="H83" s="20" t="str">
        <f>IF(COUNTA(A83:G83)=0,"",IF(COUNT(E83,G83)&lt;2,"Eksik giriş",ROUND(E83*G83,2)))</f>
      </c>
      <c r="I83" s="39" t="str">
        <f>IF(COUNTA(A83:G83)=0,"",IF(OR(COUNT(A83,B83,E83,G83)&lt;4,C83="",D83="",F83=""),"Eksik giriş",IF(COUNTIFS('Özet'!$B$10:$E$10,B83)&lt;&gt;1,"Dönem yok / tekrar",IF(OR(E83&lt;0,G83&lt;0),"Negatif giriş","Uygun"))))</f>
      </c>
    </row>
    <row r="84" ht="24" customHeight="1">
      <c r="A84" s="8"/>
      <c r="B84" s="7"/>
      <c r="C84" s="7"/>
      <c r="D84" s="7"/>
      <c r="E84" s="40"/>
      <c r="F84" s="7"/>
      <c r="G84" s="40"/>
      <c r="H84" s="20" t="str">
        <f>IF(COUNTA(A84:G84)=0,"",IF(COUNT(E84,G84)&lt;2,"Eksik giriş",ROUND(E84*G84,2)))</f>
      </c>
      <c r="I84" s="39" t="str">
        <f>IF(COUNTA(A84:G84)=0,"",IF(OR(COUNT(A84,B84,E84,G84)&lt;4,C84="",D84="",F84=""),"Eksik giriş",IF(COUNTIFS('Özet'!$B$10:$E$10,B84)&lt;&gt;1,"Dönem yok / tekrar",IF(OR(E84&lt;0,G84&lt;0),"Negatif giriş","Uygun"))))</f>
      </c>
    </row>
    <row r="85" ht="24" customHeight="1">
      <c r="A85" s="8"/>
      <c r="B85" s="7"/>
      <c r="C85" s="7"/>
      <c r="D85" s="7"/>
      <c r="E85" s="40"/>
      <c r="F85" s="7"/>
      <c r="G85" s="40"/>
      <c r="H85" s="20" t="str">
        <f>IF(COUNTA(A85:G85)=0,"",IF(COUNT(E85,G85)&lt;2,"Eksik giriş",ROUND(E85*G85,2)))</f>
      </c>
      <c r="I85" s="39" t="str">
        <f>IF(COUNTA(A85:G85)=0,"",IF(OR(COUNT(A85,B85,E85,G85)&lt;4,C85="",D85="",F85=""),"Eksik giriş",IF(COUNTIFS('Özet'!$B$10:$E$10,B85)&lt;&gt;1,"Dönem yok / tekrar",IF(OR(E85&lt;0,G85&lt;0),"Negatif giriş","Uygun"))))</f>
      </c>
    </row>
    <row r="86" ht="24" customHeight="1">
      <c r="A86" s="8"/>
      <c r="B86" s="7"/>
      <c r="C86" s="7"/>
      <c r="D86" s="7"/>
      <c r="E86" s="40"/>
      <c r="F86" s="7"/>
      <c r="G86" s="40"/>
      <c r="H86" s="20" t="str">
        <f>IF(COUNTA(A86:G86)=0,"",IF(COUNT(E86,G86)&lt;2,"Eksik giriş",ROUND(E86*G86,2)))</f>
      </c>
      <c r="I86" s="39" t="str">
        <f>IF(COUNTA(A86:G86)=0,"",IF(OR(COUNT(A86,B86,E86,G86)&lt;4,C86="",D86="",F86=""),"Eksik giriş",IF(COUNTIFS('Özet'!$B$10:$E$10,B86)&lt;&gt;1,"Dönem yok / tekrar",IF(OR(E86&lt;0,G86&lt;0),"Negatif giriş","Uygun"))))</f>
      </c>
    </row>
    <row r="87" ht="24" customHeight="1">
      <c r="A87" s="8"/>
      <c r="B87" s="7"/>
      <c r="C87" s="7"/>
      <c r="D87" s="7"/>
      <c r="E87" s="40"/>
      <c r="F87" s="7"/>
      <c r="G87" s="40"/>
      <c r="H87" s="20" t="str">
        <f>IF(COUNTA(A87:G87)=0,"",IF(COUNT(E87,G87)&lt;2,"Eksik giriş",ROUND(E87*G87,2)))</f>
      </c>
      <c r="I87" s="39" t="str">
        <f>IF(COUNTA(A87:G87)=0,"",IF(OR(COUNT(A87,B87,E87,G87)&lt;4,C87="",D87="",F87=""),"Eksik giriş",IF(COUNTIFS('Özet'!$B$10:$E$10,B87)&lt;&gt;1,"Dönem yok / tekrar",IF(OR(E87&lt;0,G87&lt;0),"Negatif giriş","Uygun"))))</f>
      </c>
    </row>
    <row r="88" ht="24" customHeight="1">
      <c r="A88" s="8"/>
      <c r="B88" s="7"/>
      <c r="C88" s="7"/>
      <c r="D88" s="7"/>
      <c r="E88" s="40"/>
      <c r="F88" s="7"/>
      <c r="G88" s="40"/>
      <c r="H88" s="20" t="str">
        <f>IF(COUNTA(A88:G88)=0,"",IF(COUNT(E88,G88)&lt;2,"Eksik giriş",ROUND(E88*G88,2)))</f>
      </c>
      <c r="I88" s="39" t="str">
        <f>IF(COUNTA(A88:G88)=0,"",IF(OR(COUNT(A88,B88,E88,G88)&lt;4,C88="",D88="",F88=""),"Eksik giriş",IF(COUNTIFS('Özet'!$B$10:$E$10,B88)&lt;&gt;1,"Dönem yok / tekrar",IF(OR(E88&lt;0,G88&lt;0),"Negatif giriş","Uygun"))))</f>
      </c>
    </row>
    <row r="89" ht="24" customHeight="1">
      <c r="A89" s="8"/>
      <c r="B89" s="7"/>
      <c r="C89" s="7"/>
      <c r="D89" s="7"/>
      <c r="E89" s="40"/>
      <c r="F89" s="7"/>
      <c r="G89" s="40"/>
      <c r="H89" s="20" t="str">
        <f>IF(COUNTA(A89:G89)=0,"",IF(COUNT(E89,G89)&lt;2,"Eksik giriş",ROUND(E89*G89,2)))</f>
      </c>
      <c r="I89" s="39" t="str">
        <f>IF(COUNTA(A89:G89)=0,"",IF(OR(COUNT(A89,B89,E89,G89)&lt;4,C89="",D89="",F89=""),"Eksik giriş",IF(COUNTIFS('Özet'!$B$10:$E$10,B89)&lt;&gt;1,"Dönem yok / tekrar",IF(OR(E89&lt;0,G89&lt;0),"Negatif giriş","Uygun"))))</f>
      </c>
    </row>
    <row r="90" ht="24" customHeight="1">
      <c r="A90" s="8"/>
      <c r="B90" s="7"/>
      <c r="C90" s="7"/>
      <c r="D90" s="7"/>
      <c r="E90" s="40"/>
      <c r="F90" s="7"/>
      <c r="G90" s="40"/>
      <c r="H90" s="20" t="str">
        <f>IF(COUNTA(A90:G90)=0,"",IF(COUNT(E90,G90)&lt;2,"Eksik giriş",ROUND(E90*G90,2)))</f>
      </c>
      <c r="I90" s="39" t="str">
        <f>IF(COUNTA(A90:G90)=0,"",IF(OR(COUNT(A90,B90,E90,G90)&lt;4,C90="",D90="",F90=""),"Eksik giriş",IF(COUNTIFS('Özet'!$B$10:$E$10,B90)&lt;&gt;1,"Dönem yok / tekrar",IF(OR(E90&lt;0,G90&lt;0),"Negatif giriş","Uygun"))))</f>
      </c>
    </row>
    <row r="91" ht="24" customHeight="1">
      <c r="A91" s="8"/>
      <c r="B91" s="7"/>
      <c r="C91" s="7"/>
      <c r="D91" s="7"/>
      <c r="E91" s="40"/>
      <c r="F91" s="7"/>
      <c r="G91" s="40"/>
      <c r="H91" s="20" t="str">
        <f>IF(COUNTA(A91:G91)=0,"",IF(COUNT(E91,G91)&lt;2,"Eksik giriş",ROUND(E91*G91,2)))</f>
      </c>
      <c r="I91" s="39" t="str">
        <f>IF(COUNTA(A91:G91)=0,"",IF(OR(COUNT(A91,B91,E91,G91)&lt;4,C91="",D91="",F91=""),"Eksik giriş",IF(COUNTIFS('Özet'!$B$10:$E$10,B91)&lt;&gt;1,"Dönem yok / tekrar",IF(OR(E91&lt;0,G91&lt;0),"Negatif giriş","Uygun"))))</f>
      </c>
    </row>
    <row r="92" ht="24" customHeight="1">
      <c r="A92" s="8"/>
      <c r="B92" s="7"/>
      <c r="C92" s="7"/>
      <c r="D92" s="7"/>
      <c r="E92" s="40"/>
      <c r="F92" s="7"/>
      <c r="G92" s="40"/>
      <c r="H92" s="20" t="str">
        <f>IF(COUNTA(A92:G92)=0,"",IF(COUNT(E92,G92)&lt;2,"Eksik giriş",ROUND(E92*G92,2)))</f>
      </c>
      <c r="I92" s="39" t="str">
        <f>IF(COUNTA(A92:G92)=0,"",IF(OR(COUNT(A92,B92,E92,G92)&lt;4,C92="",D92="",F92=""),"Eksik giriş",IF(COUNTIFS('Özet'!$B$10:$E$10,B92)&lt;&gt;1,"Dönem yok / tekrar",IF(OR(E92&lt;0,G92&lt;0),"Negatif giriş","Uygun"))))</f>
      </c>
    </row>
    <row r="93" ht="24" customHeight="1">
      <c r="A93" s="8"/>
      <c r="B93" s="7"/>
      <c r="C93" s="7"/>
      <c r="D93" s="7"/>
      <c r="E93" s="40"/>
      <c r="F93" s="7"/>
      <c r="G93" s="40"/>
      <c r="H93" s="20" t="str">
        <f>IF(COUNTA(A93:G93)=0,"",IF(COUNT(E93,G93)&lt;2,"Eksik giriş",ROUND(E93*G93,2)))</f>
      </c>
      <c r="I93" s="39" t="str">
        <f>IF(COUNTA(A93:G93)=0,"",IF(OR(COUNT(A93,B93,E93,G93)&lt;4,C93="",D93="",F93=""),"Eksik giriş",IF(COUNTIFS('Özet'!$B$10:$E$10,B93)&lt;&gt;1,"Dönem yok / tekrar",IF(OR(E93&lt;0,G93&lt;0),"Negatif giriş","Uygun"))))</f>
      </c>
    </row>
    <row r="94" ht="24" customHeight="1">
      <c r="A94" s="8"/>
      <c r="B94" s="7"/>
      <c r="C94" s="7"/>
      <c r="D94" s="7"/>
      <c r="E94" s="40"/>
      <c r="F94" s="7"/>
      <c r="G94" s="40"/>
      <c r="H94" s="20" t="str">
        <f>IF(COUNTA(A94:G94)=0,"",IF(COUNT(E94,G94)&lt;2,"Eksik giriş",ROUND(E94*G94,2)))</f>
      </c>
      <c r="I94" s="39" t="str">
        <f>IF(COUNTA(A94:G94)=0,"",IF(OR(COUNT(A94,B94,E94,G94)&lt;4,C94="",D94="",F94=""),"Eksik giriş",IF(COUNTIFS('Özet'!$B$10:$E$10,B94)&lt;&gt;1,"Dönem yok / tekrar",IF(OR(E94&lt;0,G94&lt;0),"Negatif giriş","Uygun"))))</f>
      </c>
    </row>
    <row r="95" ht="24" customHeight="1">
      <c r="A95" s="8"/>
      <c r="B95" s="7"/>
      <c r="C95" s="7"/>
      <c r="D95" s="7"/>
      <c r="E95" s="40"/>
      <c r="F95" s="7"/>
      <c r="G95" s="40"/>
      <c r="H95" s="20" t="str">
        <f>IF(COUNTA(A95:G95)=0,"",IF(COUNT(E95,G95)&lt;2,"Eksik giriş",ROUND(E95*G95,2)))</f>
      </c>
      <c r="I95" s="39" t="str">
        <f>IF(COUNTA(A95:G95)=0,"",IF(OR(COUNT(A95,B95,E95,G95)&lt;4,C95="",D95="",F95=""),"Eksik giriş",IF(COUNTIFS('Özet'!$B$10:$E$10,B95)&lt;&gt;1,"Dönem yok / tekrar",IF(OR(E95&lt;0,G95&lt;0),"Negatif giriş","Uygun"))))</f>
      </c>
    </row>
    <row r="96" ht="24" customHeight="1">
      <c r="A96" s="8"/>
      <c r="B96" s="7"/>
      <c r="C96" s="7"/>
      <c r="D96" s="7"/>
      <c r="E96" s="40"/>
      <c r="F96" s="7"/>
      <c r="G96" s="40"/>
      <c r="H96" s="20" t="str">
        <f>IF(COUNTA(A96:G96)=0,"",IF(COUNT(E96,G96)&lt;2,"Eksik giriş",ROUND(E96*G96,2)))</f>
      </c>
      <c r="I96" s="39" t="str">
        <f>IF(COUNTA(A96:G96)=0,"",IF(OR(COUNT(A96,B96,E96,G96)&lt;4,C96="",D96="",F96=""),"Eksik giriş",IF(COUNTIFS('Özet'!$B$10:$E$10,B96)&lt;&gt;1,"Dönem yok / tekrar",IF(OR(E96&lt;0,G96&lt;0),"Negatif giriş","Uygun"))))</f>
      </c>
    </row>
    <row r="97" ht="24" customHeight="1">
      <c r="A97" s="8"/>
      <c r="B97" s="7"/>
      <c r="C97" s="7"/>
      <c r="D97" s="7"/>
      <c r="E97" s="40"/>
      <c r="F97" s="7"/>
      <c r="G97" s="40"/>
      <c r="H97" s="20" t="str">
        <f>IF(COUNTA(A97:G97)=0,"",IF(COUNT(E97,G97)&lt;2,"Eksik giriş",ROUND(E97*G97,2)))</f>
      </c>
      <c r="I97" s="39" t="str">
        <f>IF(COUNTA(A97:G97)=0,"",IF(OR(COUNT(A97,B97,E97,G97)&lt;4,C97="",D97="",F97=""),"Eksik giriş",IF(COUNTIFS('Özet'!$B$10:$E$10,B97)&lt;&gt;1,"Dönem yok / tekrar",IF(OR(E97&lt;0,G97&lt;0),"Negatif giriş","Uygun"))))</f>
      </c>
    </row>
    <row r="98" ht="24" customHeight="1">
      <c r="A98" s="8"/>
      <c r="B98" s="7"/>
      <c r="C98" s="7"/>
      <c r="D98" s="7"/>
      <c r="E98" s="40"/>
      <c r="F98" s="7"/>
      <c r="G98" s="40"/>
      <c r="H98" s="20" t="str">
        <f>IF(COUNTA(A98:G98)=0,"",IF(COUNT(E98,G98)&lt;2,"Eksik giriş",ROUND(E98*G98,2)))</f>
      </c>
      <c r="I98" s="39" t="str">
        <f>IF(COUNTA(A98:G98)=0,"",IF(OR(COUNT(A98,B98,E98,G98)&lt;4,C98="",D98="",F98=""),"Eksik giriş",IF(COUNTIFS('Özet'!$B$10:$E$10,B98)&lt;&gt;1,"Dönem yok / tekrar",IF(OR(E98&lt;0,G98&lt;0),"Negatif giriş","Uygun"))))</f>
      </c>
    </row>
    <row r="99" ht="24" customHeight="1">
      <c r="A99" s="8"/>
      <c r="B99" s="7"/>
      <c r="C99" s="7"/>
      <c r="D99" s="7"/>
      <c r="E99" s="40"/>
      <c r="F99" s="7"/>
      <c r="G99" s="40"/>
      <c r="H99" s="20" t="str">
        <f>IF(COUNTA(A99:G99)=0,"",IF(COUNT(E99,G99)&lt;2,"Eksik giriş",ROUND(E99*G99,2)))</f>
      </c>
      <c r="I99" s="39" t="str">
        <f>IF(COUNTA(A99:G99)=0,"",IF(OR(COUNT(A99,B99,E99,G99)&lt;4,C99="",D99="",F99=""),"Eksik giriş",IF(COUNTIFS('Özet'!$B$10:$E$10,B99)&lt;&gt;1,"Dönem yok / tekrar",IF(OR(E99&lt;0,G99&lt;0),"Negatif giriş","Uygun"))))</f>
      </c>
    </row>
    <row r="100" ht="24" customHeight="1">
      <c r="A100" s="8"/>
      <c r="B100" s="7"/>
      <c r="C100" s="7"/>
      <c r="D100" s="7"/>
      <c r="E100" s="40"/>
      <c r="F100" s="7"/>
      <c r="G100" s="40"/>
      <c r="H100" s="20" t="str">
        <f>IF(COUNTA(A100:G100)=0,"",IF(COUNT(E100,G100)&lt;2,"Eksik giriş",ROUND(E100*G100,2)))</f>
      </c>
      <c r="I100" s="39" t="str">
        <f>IF(COUNTA(A100:G100)=0,"",IF(OR(COUNT(A100,B100,E100,G100)&lt;4,C100="",D100="",F100=""),"Eksik giriş",IF(COUNTIFS('Özet'!$B$10:$E$10,B100)&lt;&gt;1,"Dönem yok / tekrar",IF(OR(E100&lt;0,G100&lt;0),"Negatif giriş","Uygun"))))</f>
      </c>
    </row>
    <row r="101" ht="24" customHeight="1">
      <c r="A101" s="8"/>
      <c r="B101" s="7"/>
      <c r="C101" s="7"/>
      <c r="D101" s="7"/>
      <c r="E101" s="40"/>
      <c r="F101" s="7"/>
      <c r="G101" s="40"/>
      <c r="H101" s="20" t="str">
        <f>IF(COUNTA(A101:G101)=0,"",IF(COUNT(E101,G101)&lt;2,"Eksik giriş",ROUND(E101*G101,2)))</f>
      </c>
      <c r="I101" s="39" t="str">
        <f>IF(COUNTA(A101:G101)=0,"",IF(OR(COUNT(A101,B101,E101,G101)&lt;4,C101="",D101="",F101=""),"Eksik giriş",IF(COUNTIFS('Özet'!$B$10:$E$10,B101)&lt;&gt;1,"Dönem yok / tekrar",IF(OR(E101&lt;0,G101&lt;0),"Negatif giriş","Uygun"))))</f>
      </c>
    </row>
    <row r="102" ht="24" customHeight="1">
      <c r="A102" s="8"/>
      <c r="B102" s="7"/>
      <c r="C102" s="7"/>
      <c r="D102" s="7"/>
      <c r="E102" s="40"/>
      <c r="F102" s="7"/>
      <c r="G102" s="40"/>
      <c r="H102" s="20" t="str">
        <f>IF(COUNTA(A102:G102)=0,"",IF(COUNT(E102,G102)&lt;2,"Eksik giriş",ROUND(E102*G102,2)))</f>
      </c>
      <c r="I102" s="39" t="str">
        <f>IF(COUNTA(A102:G102)=0,"",IF(OR(COUNT(A102,B102,E102,G102)&lt;4,C102="",D102="",F102=""),"Eksik giriş",IF(COUNTIFS('Özet'!$B$10:$E$10,B102)&lt;&gt;1,"Dönem yok / tekrar",IF(OR(E102&lt;0,G102&lt;0),"Negatif giriş","Uygun"))))</f>
      </c>
    </row>
    <row r="103" ht="24" customHeight="1">
      <c r="A103" s="8"/>
      <c r="B103" s="7"/>
      <c r="C103" s="7"/>
      <c r="D103" s="7"/>
      <c r="E103" s="40"/>
      <c r="F103" s="7"/>
      <c r="G103" s="40"/>
      <c r="H103" s="20" t="str">
        <f>IF(COUNTA(A103:G103)=0,"",IF(COUNT(E103,G103)&lt;2,"Eksik giriş",ROUND(E103*G103,2)))</f>
      </c>
      <c r="I103" s="39" t="str">
        <f>IF(COUNTA(A103:G103)=0,"",IF(OR(COUNT(A103,B103,E103,G103)&lt;4,C103="",D103="",F103=""),"Eksik giriş",IF(COUNTIFS('Özet'!$B$10:$E$10,B103)&lt;&gt;1,"Dönem yok / tekrar",IF(OR(E103&lt;0,G103&lt;0),"Negatif giriş","Uygun"))))</f>
      </c>
    </row>
    <row r="104" ht="24" customHeight="1">
      <c r="A104" s="8"/>
      <c r="B104" s="7"/>
      <c r="C104" s="7"/>
      <c r="D104" s="7"/>
      <c r="E104" s="40"/>
      <c r="F104" s="7"/>
      <c r="G104" s="40"/>
      <c r="H104" s="20" t="str">
        <f>IF(COUNTA(A104:G104)=0,"",IF(COUNT(E104,G104)&lt;2,"Eksik giriş",ROUND(E104*G104,2)))</f>
      </c>
      <c r="I104" s="39" t="str">
        <f>IF(COUNTA(A104:G104)=0,"",IF(OR(COUNT(A104,B104,E104,G104)&lt;4,C104="",D104="",F104=""),"Eksik giriş",IF(COUNTIFS('Özet'!$B$10:$E$10,B104)&lt;&gt;1,"Dönem yok / tekrar",IF(OR(E104&lt;0,G104&lt;0),"Negatif giriş","Uygun"))))</f>
      </c>
    </row>
    <row r="105" ht="24" customHeight="1">
      <c r="A105" s="8"/>
      <c r="B105" s="7"/>
      <c r="C105" s="7"/>
      <c r="D105" s="7"/>
      <c r="E105" s="40"/>
      <c r="F105" s="7"/>
      <c r="G105" s="40"/>
      <c r="H105" s="20" t="str">
        <f>IF(COUNTA(A105:G105)=0,"",IF(COUNT(E105,G105)&lt;2,"Eksik giriş",ROUND(E105*G105,2)))</f>
      </c>
      <c r="I105" s="39" t="str">
        <f>IF(COUNTA(A105:G105)=0,"",IF(OR(COUNT(A105,B105,E105,G105)&lt;4,C105="",D105="",F105=""),"Eksik giriş",IF(COUNTIFS('Özet'!$B$10:$E$10,B105)&lt;&gt;1,"Dönem yok / tekrar",IF(OR(E105&lt;0,G105&lt;0),"Negatif giriş","Uygun"))))</f>
      </c>
    </row>
    <row r="106" ht="24" customHeight="1">
      <c r="A106" s="8"/>
      <c r="B106" s="7"/>
      <c r="C106" s="7"/>
      <c r="D106" s="7"/>
      <c r="E106" s="40"/>
      <c r="F106" s="7"/>
      <c r="G106" s="40"/>
      <c r="H106" s="20" t="str">
        <f>IF(COUNTA(A106:G106)=0,"",IF(COUNT(E106,G106)&lt;2,"Eksik giriş",ROUND(E106*G106,2)))</f>
      </c>
      <c r="I106" s="39" t="str">
        <f>IF(COUNTA(A106:G106)=0,"",IF(OR(COUNT(A106,B106,E106,G106)&lt;4,C106="",D106="",F106=""),"Eksik giriş",IF(COUNTIFS('Özet'!$B$10:$E$10,B106)&lt;&gt;1,"Dönem yok / tekrar",IF(OR(E106&lt;0,G106&lt;0),"Negatif giriş","Uygun"))))</f>
      </c>
    </row>
    <row r="107" ht="24" customHeight="1">
      <c r="A107" s="8"/>
      <c r="B107" s="7"/>
      <c r="C107" s="7"/>
      <c r="D107" s="7"/>
      <c r="E107" s="40"/>
      <c r="F107" s="7"/>
      <c r="G107" s="40"/>
      <c r="H107" s="20" t="str">
        <f>IF(COUNTA(A107:G107)=0,"",IF(COUNT(E107,G107)&lt;2,"Eksik giriş",ROUND(E107*G107,2)))</f>
      </c>
      <c r="I107" s="39" t="str">
        <f>IF(COUNTA(A107:G107)=0,"",IF(OR(COUNT(A107,B107,E107,G107)&lt;4,C107="",D107="",F107=""),"Eksik giriş",IF(COUNTIFS('Özet'!$B$10:$E$10,B107)&lt;&gt;1,"Dönem yok / tekrar",IF(OR(E107&lt;0,G107&lt;0),"Negatif giriş","Uygun"))))</f>
      </c>
    </row>
  </sheetData>
  <conditionalFormatting sqref="I8:I107">
    <cfRule type="expression" dxfId="8" priority="1">
      <formula>AND(I8&lt;&gt;"",I8&lt;&gt;"Uygun")</formula>
    </cfRule>
  </conditionalFormatting>
  <dataValidations count="3">
    <dataValidation type="whole" operator="between" sqref="B8:B107">
      <formula1>1</formula1>
      <formula2>9999</formula2>
    </dataValidation>
    <dataValidation type="list" sqref="C8:C107">
      <formula1>"Ek İş,Yevmiye"</formula1>
    </dataValidation>
    <dataValidation type="list" sqref="F8:F107">
      <formula1>"m²,m,m³,adet,kg,ton,yevmiye,saat,gün,takım"</formula1>
    </dataValidation>
  </dataValidations>
  <pageMargins left="0.7" right="0.7" top="0.75" bottom="0.75" header="0.3" footer="0.3"/>
  <tableParts count="1">
    <tablePart xmlns:r="http://schemas.openxmlformats.org/officeDocument/2006/relationships" r:id="Red742ba3e3c64acd"/>
  </tableParts>
</worksheet>
</file>

<file path=xl/worksheets/sheet4.xml><?xml version="1.0" encoding="utf-8"?>
<worksheet xmlns="http://schemas.openxmlformats.org/spreadsheetml/2006/main">
  <sheetViews>
    <sheetView showGridLines="0" workbookViewId="0">
      <pane ySplit="7" topLeftCell="A8" activePane="bottomLeft" state="frozen"/>
    </sheetView>
  </sheetViews>
  <sheetFormatPr defaultRowHeight="15"/>
  <cols>
    <col min="1" max="1" width="15" hidden="0" customWidth="1"/>
    <col min="2" max="2" width="18" hidden="0" customWidth="1"/>
    <col min="3" max="3" width="18" hidden="0" customWidth="1"/>
    <col min="4" max="4" width="36" hidden="0" customWidth="1"/>
    <col min="5" max="5" width="14" hidden="0" customWidth="1"/>
    <col min="6" max="6" width="14" hidden="0" customWidth="1"/>
    <col min="7" max="7" width="19" hidden="0" customWidth="1"/>
    <col min="8" max="8" width="21" hidden="0" customWidth="1"/>
    <col min="9" max="9" width="22" hidden="0" customWidth="1"/>
  </cols>
  <sheetData>
    <row r="1" ht="24" customHeight="1">
      <c r="A1" s="2"/>
      <c r="B1" s="2"/>
      <c r="C1" s="2"/>
      <c r="D1" s="2"/>
      <c r="E1" s="2"/>
      <c r="F1" s="2"/>
      <c r="G1" s="2"/>
      <c r="H1" s="2"/>
      <c r="I1" s="2"/>
    </row>
    <row r="2" ht="32" customHeight="1">
      <c r="A2" s="4" t="str">
        <v>Kesintiler</v>
      </c>
      <c r="B2" s="5"/>
      <c r="C2" s="5"/>
      <c r="D2" s="5"/>
      <c r="E2" s="5"/>
      <c r="F2" s="5"/>
      <c r="G2" s="5"/>
      <c r="H2" s="5"/>
      <c r="I2" s="5"/>
    </row>
    <row r="3" ht="24" customHeight="1">
      <c r="A3" s="2" t="str">
        <v>Her kayıt tek döneme aittir. Dönem numarasını Özet sayfasındaki numarayla aynı girin.</v>
      </c>
      <c r="B3" s="2"/>
      <c r="C3" s="2"/>
      <c r="D3" s="2"/>
      <c r="E3" s="2"/>
      <c r="F3" s="2"/>
      <c r="G3" s="2"/>
      <c r="H3" s="2"/>
      <c r="I3" s="2"/>
    </row>
    <row r="4" ht="24" customHeight="1">
      <c r="A4" s="28"/>
      <c r="B4" s="28"/>
      <c r="C4" s="28"/>
      <c r="D4" s="28"/>
      <c r="E4" s="28"/>
      <c r="F4" s="28"/>
      <c r="G4" s="28"/>
      <c r="H4" s="28"/>
      <c r="I4" s="28"/>
    </row>
    <row r="5" ht="24" customHeight="1">
      <c r="A5" s="2"/>
      <c r="B5" s="2"/>
      <c r="C5" s="2"/>
      <c r="D5" s="2"/>
      <c r="E5" s="2"/>
      <c r="F5" s="2"/>
      <c r="G5" s="2"/>
      <c r="H5" s="2"/>
      <c r="I5" s="2"/>
    </row>
    <row r="6" ht="24" customHeight="1">
      <c r="A6" s="2"/>
      <c r="B6" s="2"/>
      <c r="C6" s="2"/>
      <c r="D6" s="2"/>
      <c r="E6" s="2"/>
      <c r="F6" s="2"/>
      <c r="G6" s="2"/>
      <c r="H6" s="2"/>
      <c r="I6" s="2"/>
    </row>
    <row r="7" ht="40" customHeight="1">
      <c r="A7" s="13" t="str">
        <v>Tarih</v>
      </c>
      <c r="B7" s="13" t="str">
        <v>Hakediş Dönemi</v>
      </c>
      <c r="C7" s="13" t="str">
        <v>Tür</v>
      </c>
      <c r="D7" s="13" t="str">
        <v>Açıklama</v>
      </c>
      <c r="E7" s="13" t="str">
        <v>Miktar</v>
      </c>
      <c r="F7" s="13" t="str">
        <v>Birim</v>
      </c>
      <c r="G7" s="13" t="str">
        <v>Birim Fiyat</v>
      </c>
      <c r="H7" s="13" t="str">
        <v>Tutar</v>
      </c>
      <c r="I7" s="13" t="str">
        <v>Kontrol</v>
      </c>
    </row>
    <row r="8" ht="24" customHeight="1">
      <c r="A8" s="8"/>
      <c r="B8" s="7"/>
      <c r="C8" s="7"/>
      <c r="D8" s="7"/>
      <c r="E8" s="40"/>
      <c r="F8" s="7"/>
      <c r="G8" s="40"/>
      <c r="H8" s="20" t="n">
        <f>IF(COUNTA(A8:G8)=0,"",IF(COUNT(E8,G8)&lt;2,"Eksik giriş",ROUND(E8*G8,2)))</f>
      </c>
      <c r="I8" s="39" t="str">
        <f>IF(COUNTA(A8:G8)=0,"",IF(OR(COUNT(A8,B8,E8,G8)&lt;4,C8="",D8="",F8=""),"Eksik giriş",IF(COUNTIFS('Özet'!$B$10:$E$10,B8)&lt;&gt;1,"Dönem yok / tekrar",IF(OR(E8&lt;0,G8&lt;0),"Negatif giriş","Uygun"))))</f>
      </c>
    </row>
    <row r="9" ht="24" customHeight="1">
      <c r="A9" s="8"/>
      <c r="B9" s="7"/>
      <c r="C9" s="7"/>
      <c r="D9" s="7"/>
      <c r="E9" s="40"/>
      <c r="F9" s="7"/>
      <c r="G9" s="40"/>
      <c r="H9" s="20" t="str">
        <f>IF(COUNTA(A9:G9)=0,"",IF(COUNT(E9,G9)&lt;2,"Eksik giriş",ROUND(E9*G9,2)))</f>
      </c>
      <c r="I9" s="39" t="str">
        <f>IF(COUNTA(A9:G9)=0,"",IF(OR(COUNT(A9,B9,E9,G9)&lt;4,C9="",D9="",F9=""),"Eksik giriş",IF(COUNTIFS('Özet'!$B$10:$E$10,B9)&lt;&gt;1,"Dönem yok / tekrar",IF(OR(E9&lt;0,G9&lt;0),"Negatif giriş","Uygun"))))</f>
      </c>
    </row>
    <row r="10" ht="24" customHeight="1">
      <c r="A10" s="8"/>
      <c r="B10" s="7"/>
      <c r="C10" s="7"/>
      <c r="D10" s="7"/>
      <c r="E10" s="40"/>
      <c r="F10" s="7"/>
      <c r="G10" s="40"/>
      <c r="H10" s="20" t="str">
        <f>IF(COUNTA(A10:G10)=0,"",IF(COUNT(E10,G10)&lt;2,"Eksik giriş",ROUND(E10*G10,2)))</f>
      </c>
      <c r="I10" s="39" t="str">
        <f>IF(COUNTA(A10:G10)=0,"",IF(OR(COUNT(A10,B10,E10,G10)&lt;4,C10="",D10="",F10=""),"Eksik giriş",IF(COUNTIFS('Özet'!$B$10:$E$10,B10)&lt;&gt;1,"Dönem yok / tekrar",IF(OR(E10&lt;0,G10&lt;0),"Negatif giriş","Uygun"))))</f>
      </c>
    </row>
    <row r="11" ht="24" customHeight="1">
      <c r="A11" s="8"/>
      <c r="B11" s="7"/>
      <c r="C11" s="7"/>
      <c r="D11" s="7"/>
      <c r="E11" s="40"/>
      <c r="F11" s="7"/>
      <c r="G11" s="40"/>
      <c r="H11" s="20" t="str">
        <f>IF(COUNTA(A11:G11)=0,"",IF(COUNT(E11,G11)&lt;2,"Eksik giriş",ROUND(E11*G11,2)))</f>
      </c>
      <c r="I11" s="39" t="str">
        <f>IF(COUNTA(A11:G11)=0,"",IF(OR(COUNT(A11,B11,E11,G11)&lt;4,C11="",D11="",F11=""),"Eksik giriş",IF(COUNTIFS('Özet'!$B$10:$E$10,B11)&lt;&gt;1,"Dönem yok / tekrar",IF(OR(E11&lt;0,G11&lt;0),"Negatif giriş","Uygun"))))</f>
      </c>
    </row>
    <row r="12" ht="24" customHeight="1">
      <c r="A12" s="8"/>
      <c r="B12" s="7"/>
      <c r="C12" s="7"/>
      <c r="D12" s="7"/>
      <c r="E12" s="40"/>
      <c r="F12" s="7"/>
      <c r="G12" s="40"/>
      <c r="H12" s="20" t="str">
        <f>IF(COUNTA(A12:G12)=0,"",IF(COUNT(E12,G12)&lt;2,"Eksik giriş",ROUND(E12*G12,2)))</f>
      </c>
      <c r="I12" s="39" t="str">
        <f>IF(COUNTA(A12:G12)=0,"",IF(OR(COUNT(A12,B12,E12,G12)&lt;4,C12="",D12="",F12=""),"Eksik giriş",IF(COUNTIFS('Özet'!$B$10:$E$10,B12)&lt;&gt;1,"Dönem yok / tekrar",IF(OR(E12&lt;0,G12&lt;0),"Negatif giriş","Uygun"))))</f>
      </c>
    </row>
    <row r="13" ht="24" customHeight="1">
      <c r="A13" s="8"/>
      <c r="B13" s="7"/>
      <c r="C13" s="7"/>
      <c r="D13" s="7"/>
      <c r="E13" s="40"/>
      <c r="F13" s="7"/>
      <c r="G13" s="40"/>
      <c r="H13" s="20" t="str">
        <f>IF(COUNTA(A13:G13)=0,"",IF(COUNT(E13,G13)&lt;2,"Eksik giriş",ROUND(E13*G13,2)))</f>
      </c>
      <c r="I13" s="39" t="str">
        <f>IF(COUNTA(A13:G13)=0,"",IF(OR(COUNT(A13,B13,E13,G13)&lt;4,C13="",D13="",F13=""),"Eksik giriş",IF(COUNTIFS('Özet'!$B$10:$E$10,B13)&lt;&gt;1,"Dönem yok / tekrar",IF(OR(E13&lt;0,G13&lt;0),"Negatif giriş","Uygun"))))</f>
      </c>
    </row>
    <row r="14" ht="24" customHeight="1">
      <c r="A14" s="8"/>
      <c r="B14" s="7"/>
      <c r="C14" s="7"/>
      <c r="D14" s="7"/>
      <c r="E14" s="40"/>
      <c r="F14" s="7"/>
      <c r="G14" s="40"/>
      <c r="H14" s="20" t="str">
        <f>IF(COUNTA(A14:G14)=0,"",IF(COUNT(E14,G14)&lt;2,"Eksik giriş",ROUND(E14*G14,2)))</f>
      </c>
      <c r="I14" s="39" t="str">
        <f>IF(COUNTA(A14:G14)=0,"",IF(OR(COUNT(A14,B14,E14,G14)&lt;4,C14="",D14="",F14=""),"Eksik giriş",IF(COUNTIFS('Özet'!$B$10:$E$10,B14)&lt;&gt;1,"Dönem yok / tekrar",IF(OR(E14&lt;0,G14&lt;0),"Negatif giriş","Uygun"))))</f>
      </c>
    </row>
    <row r="15" ht="24" customHeight="1">
      <c r="A15" s="8"/>
      <c r="B15" s="7"/>
      <c r="C15" s="7"/>
      <c r="D15" s="7"/>
      <c r="E15" s="40"/>
      <c r="F15" s="7"/>
      <c r="G15" s="40"/>
      <c r="H15" s="20" t="str">
        <f>IF(COUNTA(A15:G15)=0,"",IF(COUNT(E15,G15)&lt;2,"Eksik giriş",ROUND(E15*G15,2)))</f>
      </c>
      <c r="I15" s="39" t="str">
        <f>IF(COUNTA(A15:G15)=0,"",IF(OR(COUNT(A15,B15,E15,G15)&lt;4,C15="",D15="",F15=""),"Eksik giriş",IF(COUNTIFS('Özet'!$B$10:$E$10,B15)&lt;&gt;1,"Dönem yok / tekrar",IF(OR(E15&lt;0,G15&lt;0),"Negatif giriş","Uygun"))))</f>
      </c>
    </row>
    <row r="16" ht="24" customHeight="1">
      <c r="A16" s="8"/>
      <c r="B16" s="7"/>
      <c r="C16" s="7"/>
      <c r="D16" s="7"/>
      <c r="E16" s="40"/>
      <c r="F16" s="7"/>
      <c r="G16" s="40"/>
      <c r="H16" s="20" t="str">
        <f>IF(COUNTA(A16:G16)=0,"",IF(COUNT(E16,G16)&lt;2,"Eksik giriş",ROUND(E16*G16,2)))</f>
      </c>
      <c r="I16" s="39" t="str">
        <f>IF(COUNTA(A16:G16)=0,"",IF(OR(COUNT(A16,B16,E16,G16)&lt;4,C16="",D16="",F16=""),"Eksik giriş",IF(COUNTIFS('Özet'!$B$10:$E$10,B16)&lt;&gt;1,"Dönem yok / tekrar",IF(OR(E16&lt;0,G16&lt;0),"Negatif giriş","Uygun"))))</f>
      </c>
    </row>
    <row r="17" ht="24" customHeight="1">
      <c r="A17" s="8"/>
      <c r="B17" s="7"/>
      <c r="C17" s="7"/>
      <c r="D17" s="7"/>
      <c r="E17" s="40"/>
      <c r="F17" s="7"/>
      <c r="G17" s="40"/>
      <c r="H17" s="20" t="str">
        <f>IF(COUNTA(A17:G17)=0,"",IF(COUNT(E17,G17)&lt;2,"Eksik giriş",ROUND(E17*G17,2)))</f>
      </c>
      <c r="I17" s="39" t="str">
        <f>IF(COUNTA(A17:G17)=0,"",IF(OR(COUNT(A17,B17,E17,G17)&lt;4,C17="",D17="",F17=""),"Eksik giriş",IF(COUNTIFS('Özet'!$B$10:$E$10,B17)&lt;&gt;1,"Dönem yok / tekrar",IF(OR(E17&lt;0,G17&lt;0),"Negatif giriş","Uygun"))))</f>
      </c>
    </row>
    <row r="18" ht="24" customHeight="1">
      <c r="A18" s="8"/>
      <c r="B18" s="7"/>
      <c r="C18" s="7"/>
      <c r="D18" s="7"/>
      <c r="E18" s="40"/>
      <c r="F18" s="7"/>
      <c r="G18" s="40"/>
      <c r="H18" s="20" t="str">
        <f>IF(COUNTA(A18:G18)=0,"",IF(COUNT(E18,G18)&lt;2,"Eksik giriş",ROUND(E18*G18,2)))</f>
      </c>
      <c r="I18" s="39" t="str">
        <f>IF(COUNTA(A18:G18)=0,"",IF(OR(COUNT(A18,B18,E18,G18)&lt;4,C18="",D18="",F18=""),"Eksik giriş",IF(COUNTIFS('Özet'!$B$10:$E$10,B18)&lt;&gt;1,"Dönem yok / tekrar",IF(OR(E18&lt;0,G18&lt;0),"Negatif giriş","Uygun"))))</f>
      </c>
    </row>
    <row r="19" ht="24" customHeight="1">
      <c r="A19" s="8"/>
      <c r="B19" s="7"/>
      <c r="C19" s="7"/>
      <c r="D19" s="7"/>
      <c r="E19" s="40"/>
      <c r="F19" s="7"/>
      <c r="G19" s="40"/>
      <c r="H19" s="20" t="str">
        <f>IF(COUNTA(A19:G19)=0,"",IF(COUNT(E19,G19)&lt;2,"Eksik giriş",ROUND(E19*G19,2)))</f>
      </c>
      <c r="I19" s="39" t="str">
        <f>IF(COUNTA(A19:G19)=0,"",IF(OR(COUNT(A19,B19,E19,G19)&lt;4,C19="",D19="",F19=""),"Eksik giriş",IF(COUNTIFS('Özet'!$B$10:$E$10,B19)&lt;&gt;1,"Dönem yok / tekrar",IF(OR(E19&lt;0,G19&lt;0),"Negatif giriş","Uygun"))))</f>
      </c>
    </row>
    <row r="20" ht="24" customHeight="1">
      <c r="A20" s="8"/>
      <c r="B20" s="7"/>
      <c r="C20" s="7"/>
      <c r="D20" s="7"/>
      <c r="E20" s="40"/>
      <c r="F20" s="7"/>
      <c r="G20" s="40"/>
      <c r="H20" s="20" t="str">
        <f>IF(COUNTA(A20:G20)=0,"",IF(COUNT(E20,G20)&lt;2,"Eksik giriş",ROUND(E20*G20,2)))</f>
      </c>
      <c r="I20" s="39" t="str">
        <f>IF(COUNTA(A20:G20)=0,"",IF(OR(COUNT(A20,B20,E20,G20)&lt;4,C20="",D20="",F20=""),"Eksik giriş",IF(COUNTIFS('Özet'!$B$10:$E$10,B20)&lt;&gt;1,"Dönem yok / tekrar",IF(OR(E20&lt;0,G20&lt;0),"Negatif giriş","Uygun"))))</f>
      </c>
    </row>
    <row r="21" ht="24" customHeight="1">
      <c r="A21" s="8"/>
      <c r="B21" s="7"/>
      <c r="C21" s="7"/>
      <c r="D21" s="7"/>
      <c r="E21" s="40"/>
      <c r="F21" s="7"/>
      <c r="G21" s="40"/>
      <c r="H21" s="20" t="str">
        <f>IF(COUNTA(A21:G21)=0,"",IF(COUNT(E21,G21)&lt;2,"Eksik giriş",ROUND(E21*G21,2)))</f>
      </c>
      <c r="I21" s="39" t="str">
        <f>IF(COUNTA(A21:G21)=0,"",IF(OR(COUNT(A21,B21,E21,G21)&lt;4,C21="",D21="",F21=""),"Eksik giriş",IF(COUNTIFS('Özet'!$B$10:$E$10,B21)&lt;&gt;1,"Dönem yok / tekrar",IF(OR(E21&lt;0,G21&lt;0),"Negatif giriş","Uygun"))))</f>
      </c>
    </row>
    <row r="22" ht="24" customHeight="1">
      <c r="A22" s="8"/>
      <c r="B22" s="7"/>
      <c r="C22" s="7"/>
      <c r="D22" s="7"/>
      <c r="E22" s="40"/>
      <c r="F22" s="7"/>
      <c r="G22" s="40"/>
      <c r="H22" s="20" t="str">
        <f>IF(COUNTA(A22:G22)=0,"",IF(COUNT(E22,G22)&lt;2,"Eksik giriş",ROUND(E22*G22,2)))</f>
      </c>
      <c r="I22" s="39" t="str">
        <f>IF(COUNTA(A22:G22)=0,"",IF(OR(COUNT(A22,B22,E22,G22)&lt;4,C22="",D22="",F22=""),"Eksik giriş",IF(COUNTIFS('Özet'!$B$10:$E$10,B22)&lt;&gt;1,"Dönem yok / tekrar",IF(OR(E22&lt;0,G22&lt;0),"Negatif giriş","Uygun"))))</f>
      </c>
    </row>
    <row r="23" ht="24" customHeight="1">
      <c r="A23" s="8"/>
      <c r="B23" s="7"/>
      <c r="C23" s="7"/>
      <c r="D23" s="7"/>
      <c r="E23" s="40"/>
      <c r="F23" s="7"/>
      <c r="G23" s="40"/>
      <c r="H23" s="20" t="str">
        <f>IF(COUNTA(A23:G23)=0,"",IF(COUNT(E23,G23)&lt;2,"Eksik giriş",ROUND(E23*G23,2)))</f>
      </c>
      <c r="I23" s="39" t="str">
        <f>IF(COUNTA(A23:G23)=0,"",IF(OR(COUNT(A23,B23,E23,G23)&lt;4,C23="",D23="",F23=""),"Eksik giriş",IF(COUNTIFS('Özet'!$B$10:$E$10,B23)&lt;&gt;1,"Dönem yok / tekrar",IF(OR(E23&lt;0,G23&lt;0),"Negatif giriş","Uygun"))))</f>
      </c>
    </row>
    <row r="24" ht="24" customHeight="1">
      <c r="A24" s="8"/>
      <c r="B24" s="7"/>
      <c r="C24" s="7"/>
      <c r="D24" s="7"/>
      <c r="E24" s="40"/>
      <c r="F24" s="7"/>
      <c r="G24" s="40"/>
      <c r="H24" s="20" t="str">
        <f>IF(COUNTA(A24:G24)=0,"",IF(COUNT(E24,G24)&lt;2,"Eksik giriş",ROUND(E24*G24,2)))</f>
      </c>
      <c r="I24" s="39" t="str">
        <f>IF(COUNTA(A24:G24)=0,"",IF(OR(COUNT(A24,B24,E24,G24)&lt;4,C24="",D24="",F24=""),"Eksik giriş",IF(COUNTIFS('Özet'!$B$10:$E$10,B24)&lt;&gt;1,"Dönem yok / tekrar",IF(OR(E24&lt;0,G24&lt;0),"Negatif giriş","Uygun"))))</f>
      </c>
    </row>
    <row r="25" ht="24" customHeight="1">
      <c r="A25" s="8"/>
      <c r="B25" s="7"/>
      <c r="C25" s="7"/>
      <c r="D25" s="7"/>
      <c r="E25" s="40"/>
      <c r="F25" s="7"/>
      <c r="G25" s="40"/>
      <c r="H25" s="20" t="str">
        <f>IF(COUNTA(A25:G25)=0,"",IF(COUNT(E25,G25)&lt;2,"Eksik giriş",ROUND(E25*G25,2)))</f>
      </c>
      <c r="I25" s="39" t="str">
        <f>IF(COUNTA(A25:G25)=0,"",IF(OR(COUNT(A25,B25,E25,G25)&lt;4,C25="",D25="",F25=""),"Eksik giriş",IF(COUNTIFS('Özet'!$B$10:$E$10,B25)&lt;&gt;1,"Dönem yok / tekrar",IF(OR(E25&lt;0,G25&lt;0),"Negatif giriş","Uygun"))))</f>
      </c>
    </row>
    <row r="26" ht="24" customHeight="1">
      <c r="A26" s="8"/>
      <c r="B26" s="7"/>
      <c r="C26" s="7"/>
      <c r="D26" s="7"/>
      <c r="E26" s="40"/>
      <c r="F26" s="7"/>
      <c r="G26" s="40"/>
      <c r="H26" s="20" t="str">
        <f>IF(COUNTA(A26:G26)=0,"",IF(COUNT(E26,G26)&lt;2,"Eksik giriş",ROUND(E26*G26,2)))</f>
      </c>
      <c r="I26" s="39" t="str">
        <f>IF(COUNTA(A26:G26)=0,"",IF(OR(COUNT(A26,B26,E26,G26)&lt;4,C26="",D26="",F26=""),"Eksik giriş",IF(COUNTIFS('Özet'!$B$10:$E$10,B26)&lt;&gt;1,"Dönem yok / tekrar",IF(OR(E26&lt;0,G26&lt;0),"Negatif giriş","Uygun"))))</f>
      </c>
    </row>
    <row r="27" ht="24" customHeight="1">
      <c r="A27" s="8"/>
      <c r="B27" s="7"/>
      <c r="C27" s="7"/>
      <c r="D27" s="7"/>
      <c r="E27" s="40"/>
      <c r="F27" s="7"/>
      <c r="G27" s="40"/>
      <c r="H27" s="20" t="str">
        <f>IF(COUNTA(A27:G27)=0,"",IF(COUNT(E27,G27)&lt;2,"Eksik giriş",ROUND(E27*G27,2)))</f>
      </c>
      <c r="I27" s="39" t="str">
        <f>IF(COUNTA(A27:G27)=0,"",IF(OR(COUNT(A27,B27,E27,G27)&lt;4,C27="",D27="",F27=""),"Eksik giriş",IF(COUNTIFS('Özet'!$B$10:$E$10,B27)&lt;&gt;1,"Dönem yok / tekrar",IF(OR(E27&lt;0,G27&lt;0),"Negatif giriş","Uygun"))))</f>
      </c>
    </row>
    <row r="28" ht="24" customHeight="1">
      <c r="A28" s="8"/>
      <c r="B28" s="7"/>
      <c r="C28" s="7"/>
      <c r="D28" s="7"/>
      <c r="E28" s="40"/>
      <c r="F28" s="7"/>
      <c r="G28" s="40"/>
      <c r="H28" s="20" t="str">
        <f>IF(COUNTA(A28:G28)=0,"",IF(COUNT(E28,G28)&lt;2,"Eksik giriş",ROUND(E28*G28,2)))</f>
      </c>
      <c r="I28" s="39" t="str">
        <f>IF(COUNTA(A28:G28)=0,"",IF(OR(COUNT(A28,B28,E28,G28)&lt;4,C28="",D28="",F28=""),"Eksik giriş",IF(COUNTIFS('Özet'!$B$10:$E$10,B28)&lt;&gt;1,"Dönem yok / tekrar",IF(OR(E28&lt;0,G28&lt;0),"Negatif giriş","Uygun"))))</f>
      </c>
    </row>
    <row r="29" ht="24" customHeight="1">
      <c r="A29" s="8"/>
      <c r="B29" s="7"/>
      <c r="C29" s="7"/>
      <c r="D29" s="7"/>
      <c r="E29" s="40"/>
      <c r="F29" s="7"/>
      <c r="G29" s="40"/>
      <c r="H29" s="20" t="str">
        <f>IF(COUNTA(A29:G29)=0,"",IF(COUNT(E29,G29)&lt;2,"Eksik giriş",ROUND(E29*G29,2)))</f>
      </c>
      <c r="I29" s="39" t="str">
        <f>IF(COUNTA(A29:G29)=0,"",IF(OR(COUNT(A29,B29,E29,G29)&lt;4,C29="",D29="",F29=""),"Eksik giriş",IF(COUNTIFS('Özet'!$B$10:$E$10,B29)&lt;&gt;1,"Dönem yok / tekrar",IF(OR(E29&lt;0,G29&lt;0),"Negatif giriş","Uygun"))))</f>
      </c>
    </row>
    <row r="30" ht="24" customHeight="1">
      <c r="A30" s="8"/>
      <c r="B30" s="7"/>
      <c r="C30" s="7"/>
      <c r="D30" s="7"/>
      <c r="E30" s="40"/>
      <c r="F30" s="7"/>
      <c r="G30" s="40"/>
      <c r="H30" s="20" t="str">
        <f>IF(COUNTA(A30:G30)=0,"",IF(COUNT(E30,G30)&lt;2,"Eksik giriş",ROUND(E30*G30,2)))</f>
      </c>
      <c r="I30" s="39" t="str">
        <f>IF(COUNTA(A30:G30)=0,"",IF(OR(COUNT(A30,B30,E30,G30)&lt;4,C30="",D30="",F30=""),"Eksik giriş",IF(COUNTIFS('Özet'!$B$10:$E$10,B30)&lt;&gt;1,"Dönem yok / tekrar",IF(OR(E30&lt;0,G30&lt;0),"Negatif giriş","Uygun"))))</f>
      </c>
    </row>
    <row r="31" ht="24" customHeight="1">
      <c r="A31" s="8"/>
      <c r="B31" s="7"/>
      <c r="C31" s="7"/>
      <c r="D31" s="7"/>
      <c r="E31" s="40"/>
      <c r="F31" s="7"/>
      <c r="G31" s="40"/>
      <c r="H31" s="20" t="str">
        <f>IF(COUNTA(A31:G31)=0,"",IF(COUNT(E31,G31)&lt;2,"Eksik giriş",ROUND(E31*G31,2)))</f>
      </c>
      <c r="I31" s="39" t="str">
        <f>IF(COUNTA(A31:G31)=0,"",IF(OR(COUNT(A31,B31,E31,G31)&lt;4,C31="",D31="",F31=""),"Eksik giriş",IF(COUNTIFS('Özet'!$B$10:$E$10,B31)&lt;&gt;1,"Dönem yok / tekrar",IF(OR(E31&lt;0,G31&lt;0),"Negatif giriş","Uygun"))))</f>
      </c>
    </row>
    <row r="32" ht="24" customHeight="1">
      <c r="A32" s="8"/>
      <c r="B32" s="7"/>
      <c r="C32" s="7"/>
      <c r="D32" s="7"/>
      <c r="E32" s="40"/>
      <c r="F32" s="7"/>
      <c r="G32" s="40"/>
      <c r="H32" s="20" t="str">
        <f>IF(COUNTA(A32:G32)=0,"",IF(COUNT(E32,G32)&lt;2,"Eksik giriş",ROUND(E32*G32,2)))</f>
      </c>
      <c r="I32" s="39" t="str">
        <f>IF(COUNTA(A32:G32)=0,"",IF(OR(COUNT(A32,B32,E32,G32)&lt;4,C32="",D32="",F32=""),"Eksik giriş",IF(COUNTIFS('Özet'!$B$10:$E$10,B32)&lt;&gt;1,"Dönem yok / tekrar",IF(OR(E32&lt;0,G32&lt;0),"Negatif giriş","Uygun"))))</f>
      </c>
    </row>
    <row r="33" ht="24" customHeight="1">
      <c r="A33" s="8"/>
      <c r="B33" s="7"/>
      <c r="C33" s="7"/>
      <c r="D33" s="7"/>
      <c r="E33" s="40"/>
      <c r="F33" s="7"/>
      <c r="G33" s="40"/>
      <c r="H33" s="20" t="str">
        <f>IF(COUNTA(A33:G33)=0,"",IF(COUNT(E33,G33)&lt;2,"Eksik giriş",ROUND(E33*G33,2)))</f>
      </c>
      <c r="I33" s="39" t="str">
        <f>IF(COUNTA(A33:G33)=0,"",IF(OR(COUNT(A33,B33,E33,G33)&lt;4,C33="",D33="",F33=""),"Eksik giriş",IF(COUNTIFS('Özet'!$B$10:$E$10,B33)&lt;&gt;1,"Dönem yok / tekrar",IF(OR(E33&lt;0,G33&lt;0),"Negatif giriş","Uygun"))))</f>
      </c>
    </row>
    <row r="34" ht="24" customHeight="1">
      <c r="A34" s="8"/>
      <c r="B34" s="7"/>
      <c r="C34" s="7"/>
      <c r="D34" s="7"/>
      <c r="E34" s="40"/>
      <c r="F34" s="7"/>
      <c r="G34" s="40"/>
      <c r="H34" s="20" t="str">
        <f>IF(COUNTA(A34:G34)=0,"",IF(COUNT(E34,G34)&lt;2,"Eksik giriş",ROUND(E34*G34,2)))</f>
      </c>
      <c r="I34" s="39" t="str">
        <f>IF(COUNTA(A34:G34)=0,"",IF(OR(COUNT(A34,B34,E34,G34)&lt;4,C34="",D34="",F34=""),"Eksik giriş",IF(COUNTIFS('Özet'!$B$10:$E$10,B34)&lt;&gt;1,"Dönem yok / tekrar",IF(OR(E34&lt;0,G34&lt;0),"Negatif giriş","Uygun"))))</f>
      </c>
    </row>
    <row r="35" ht="24" customHeight="1">
      <c r="A35" s="8"/>
      <c r="B35" s="7"/>
      <c r="C35" s="7"/>
      <c r="D35" s="7"/>
      <c r="E35" s="40"/>
      <c r="F35" s="7"/>
      <c r="G35" s="40"/>
      <c r="H35" s="20" t="str">
        <f>IF(COUNTA(A35:G35)=0,"",IF(COUNT(E35,G35)&lt;2,"Eksik giriş",ROUND(E35*G35,2)))</f>
      </c>
      <c r="I35" s="39" t="str">
        <f>IF(COUNTA(A35:G35)=0,"",IF(OR(COUNT(A35,B35,E35,G35)&lt;4,C35="",D35="",F35=""),"Eksik giriş",IF(COUNTIFS('Özet'!$B$10:$E$10,B35)&lt;&gt;1,"Dönem yok / tekrar",IF(OR(E35&lt;0,G35&lt;0),"Negatif giriş","Uygun"))))</f>
      </c>
    </row>
    <row r="36" ht="24" customHeight="1">
      <c r="A36" s="8"/>
      <c r="B36" s="7"/>
      <c r="C36" s="7"/>
      <c r="D36" s="7"/>
      <c r="E36" s="40"/>
      <c r="F36" s="7"/>
      <c r="G36" s="40"/>
      <c r="H36" s="20" t="str">
        <f>IF(COUNTA(A36:G36)=0,"",IF(COUNT(E36,G36)&lt;2,"Eksik giriş",ROUND(E36*G36,2)))</f>
      </c>
      <c r="I36" s="39" t="str">
        <f>IF(COUNTA(A36:G36)=0,"",IF(OR(COUNT(A36,B36,E36,G36)&lt;4,C36="",D36="",F36=""),"Eksik giriş",IF(COUNTIFS('Özet'!$B$10:$E$10,B36)&lt;&gt;1,"Dönem yok / tekrar",IF(OR(E36&lt;0,G36&lt;0),"Negatif giriş","Uygun"))))</f>
      </c>
    </row>
    <row r="37" ht="24" customHeight="1">
      <c r="A37" s="8"/>
      <c r="B37" s="7"/>
      <c r="C37" s="7"/>
      <c r="D37" s="7"/>
      <c r="E37" s="40"/>
      <c r="F37" s="7"/>
      <c r="G37" s="40"/>
      <c r="H37" s="20" t="str">
        <f>IF(COUNTA(A37:G37)=0,"",IF(COUNT(E37,G37)&lt;2,"Eksik giriş",ROUND(E37*G37,2)))</f>
      </c>
      <c r="I37" s="39" t="str">
        <f>IF(COUNTA(A37:G37)=0,"",IF(OR(COUNT(A37,B37,E37,G37)&lt;4,C37="",D37="",F37=""),"Eksik giriş",IF(COUNTIFS('Özet'!$B$10:$E$10,B37)&lt;&gt;1,"Dönem yok / tekrar",IF(OR(E37&lt;0,G37&lt;0),"Negatif giriş","Uygun"))))</f>
      </c>
    </row>
    <row r="38" ht="24" customHeight="1">
      <c r="A38" s="8"/>
      <c r="B38" s="7"/>
      <c r="C38" s="7"/>
      <c r="D38" s="7"/>
      <c r="E38" s="40"/>
      <c r="F38" s="7"/>
      <c r="G38" s="40"/>
      <c r="H38" s="20" t="str">
        <f>IF(COUNTA(A38:G38)=0,"",IF(COUNT(E38,G38)&lt;2,"Eksik giriş",ROUND(E38*G38,2)))</f>
      </c>
      <c r="I38" s="39" t="str">
        <f>IF(COUNTA(A38:G38)=0,"",IF(OR(COUNT(A38,B38,E38,G38)&lt;4,C38="",D38="",F38=""),"Eksik giriş",IF(COUNTIFS('Özet'!$B$10:$E$10,B38)&lt;&gt;1,"Dönem yok / tekrar",IF(OR(E38&lt;0,G38&lt;0),"Negatif giriş","Uygun"))))</f>
      </c>
    </row>
    <row r="39" ht="24" customHeight="1">
      <c r="A39" s="8"/>
      <c r="B39" s="7"/>
      <c r="C39" s="7"/>
      <c r="D39" s="7"/>
      <c r="E39" s="40"/>
      <c r="F39" s="7"/>
      <c r="G39" s="40"/>
      <c r="H39" s="20" t="str">
        <f>IF(COUNTA(A39:G39)=0,"",IF(COUNT(E39,G39)&lt;2,"Eksik giriş",ROUND(E39*G39,2)))</f>
      </c>
      <c r="I39" s="39" t="str">
        <f>IF(COUNTA(A39:G39)=0,"",IF(OR(COUNT(A39,B39,E39,G39)&lt;4,C39="",D39="",F39=""),"Eksik giriş",IF(COUNTIFS('Özet'!$B$10:$E$10,B39)&lt;&gt;1,"Dönem yok / tekrar",IF(OR(E39&lt;0,G39&lt;0),"Negatif giriş","Uygun"))))</f>
      </c>
    </row>
    <row r="40" ht="24" customHeight="1">
      <c r="A40" s="8"/>
      <c r="B40" s="7"/>
      <c r="C40" s="7"/>
      <c r="D40" s="7"/>
      <c r="E40" s="40"/>
      <c r="F40" s="7"/>
      <c r="G40" s="40"/>
      <c r="H40" s="20" t="str">
        <f>IF(COUNTA(A40:G40)=0,"",IF(COUNT(E40,G40)&lt;2,"Eksik giriş",ROUND(E40*G40,2)))</f>
      </c>
      <c r="I40" s="39" t="str">
        <f>IF(COUNTA(A40:G40)=0,"",IF(OR(COUNT(A40,B40,E40,G40)&lt;4,C40="",D40="",F40=""),"Eksik giriş",IF(COUNTIFS('Özet'!$B$10:$E$10,B40)&lt;&gt;1,"Dönem yok / tekrar",IF(OR(E40&lt;0,G40&lt;0),"Negatif giriş","Uygun"))))</f>
      </c>
    </row>
    <row r="41" ht="24" customHeight="1">
      <c r="A41" s="8"/>
      <c r="B41" s="7"/>
      <c r="C41" s="7"/>
      <c r="D41" s="7"/>
      <c r="E41" s="40"/>
      <c r="F41" s="7"/>
      <c r="G41" s="40"/>
      <c r="H41" s="20" t="str">
        <f>IF(COUNTA(A41:G41)=0,"",IF(COUNT(E41,G41)&lt;2,"Eksik giriş",ROUND(E41*G41,2)))</f>
      </c>
      <c r="I41" s="39" t="str">
        <f>IF(COUNTA(A41:G41)=0,"",IF(OR(COUNT(A41,B41,E41,G41)&lt;4,C41="",D41="",F41=""),"Eksik giriş",IF(COUNTIFS('Özet'!$B$10:$E$10,B41)&lt;&gt;1,"Dönem yok / tekrar",IF(OR(E41&lt;0,G41&lt;0),"Negatif giriş","Uygun"))))</f>
      </c>
    </row>
    <row r="42" ht="24" customHeight="1">
      <c r="A42" s="8"/>
      <c r="B42" s="7"/>
      <c r="C42" s="7"/>
      <c r="D42" s="7"/>
      <c r="E42" s="40"/>
      <c r="F42" s="7"/>
      <c r="G42" s="40"/>
      <c r="H42" s="20" t="str">
        <f>IF(COUNTA(A42:G42)=0,"",IF(COUNT(E42,G42)&lt;2,"Eksik giriş",ROUND(E42*G42,2)))</f>
      </c>
      <c r="I42" s="39" t="str">
        <f>IF(COUNTA(A42:G42)=0,"",IF(OR(COUNT(A42,B42,E42,G42)&lt;4,C42="",D42="",F42=""),"Eksik giriş",IF(COUNTIFS('Özet'!$B$10:$E$10,B42)&lt;&gt;1,"Dönem yok / tekrar",IF(OR(E42&lt;0,G42&lt;0),"Negatif giriş","Uygun"))))</f>
      </c>
    </row>
    <row r="43" ht="24" customHeight="1">
      <c r="A43" s="8"/>
      <c r="B43" s="7"/>
      <c r="C43" s="7"/>
      <c r="D43" s="7"/>
      <c r="E43" s="40"/>
      <c r="F43" s="7"/>
      <c r="G43" s="40"/>
      <c r="H43" s="20" t="str">
        <f>IF(COUNTA(A43:G43)=0,"",IF(COUNT(E43,G43)&lt;2,"Eksik giriş",ROUND(E43*G43,2)))</f>
      </c>
      <c r="I43" s="39" t="str">
        <f>IF(COUNTA(A43:G43)=0,"",IF(OR(COUNT(A43,B43,E43,G43)&lt;4,C43="",D43="",F43=""),"Eksik giriş",IF(COUNTIFS('Özet'!$B$10:$E$10,B43)&lt;&gt;1,"Dönem yok / tekrar",IF(OR(E43&lt;0,G43&lt;0),"Negatif giriş","Uygun"))))</f>
      </c>
    </row>
    <row r="44" ht="24" customHeight="1">
      <c r="A44" s="8"/>
      <c r="B44" s="7"/>
      <c r="C44" s="7"/>
      <c r="D44" s="7"/>
      <c r="E44" s="40"/>
      <c r="F44" s="7"/>
      <c r="G44" s="40"/>
      <c r="H44" s="20" t="str">
        <f>IF(COUNTA(A44:G44)=0,"",IF(COUNT(E44,G44)&lt;2,"Eksik giriş",ROUND(E44*G44,2)))</f>
      </c>
      <c r="I44" s="39" t="str">
        <f>IF(COUNTA(A44:G44)=0,"",IF(OR(COUNT(A44,B44,E44,G44)&lt;4,C44="",D44="",F44=""),"Eksik giriş",IF(COUNTIFS('Özet'!$B$10:$E$10,B44)&lt;&gt;1,"Dönem yok / tekrar",IF(OR(E44&lt;0,G44&lt;0),"Negatif giriş","Uygun"))))</f>
      </c>
    </row>
    <row r="45" ht="24" customHeight="1">
      <c r="A45" s="8"/>
      <c r="B45" s="7"/>
      <c r="C45" s="7"/>
      <c r="D45" s="7"/>
      <c r="E45" s="40"/>
      <c r="F45" s="7"/>
      <c r="G45" s="40"/>
      <c r="H45" s="20" t="str">
        <f>IF(COUNTA(A45:G45)=0,"",IF(COUNT(E45,G45)&lt;2,"Eksik giriş",ROUND(E45*G45,2)))</f>
      </c>
      <c r="I45" s="39" t="str">
        <f>IF(COUNTA(A45:G45)=0,"",IF(OR(COUNT(A45,B45,E45,G45)&lt;4,C45="",D45="",F45=""),"Eksik giriş",IF(COUNTIFS('Özet'!$B$10:$E$10,B45)&lt;&gt;1,"Dönem yok / tekrar",IF(OR(E45&lt;0,G45&lt;0),"Negatif giriş","Uygun"))))</f>
      </c>
    </row>
    <row r="46" ht="24" customHeight="1">
      <c r="A46" s="8"/>
      <c r="B46" s="7"/>
      <c r="C46" s="7"/>
      <c r="D46" s="7"/>
      <c r="E46" s="40"/>
      <c r="F46" s="7"/>
      <c r="G46" s="40"/>
      <c r="H46" s="20" t="str">
        <f>IF(COUNTA(A46:G46)=0,"",IF(COUNT(E46,G46)&lt;2,"Eksik giriş",ROUND(E46*G46,2)))</f>
      </c>
      <c r="I46" s="39" t="str">
        <f>IF(COUNTA(A46:G46)=0,"",IF(OR(COUNT(A46,B46,E46,G46)&lt;4,C46="",D46="",F46=""),"Eksik giriş",IF(COUNTIFS('Özet'!$B$10:$E$10,B46)&lt;&gt;1,"Dönem yok / tekrar",IF(OR(E46&lt;0,G46&lt;0),"Negatif giriş","Uygun"))))</f>
      </c>
    </row>
    <row r="47" ht="24" customHeight="1">
      <c r="A47" s="8"/>
      <c r="B47" s="7"/>
      <c r="C47" s="7"/>
      <c r="D47" s="7"/>
      <c r="E47" s="40"/>
      <c r="F47" s="7"/>
      <c r="G47" s="40"/>
      <c r="H47" s="20" t="str">
        <f>IF(COUNTA(A47:G47)=0,"",IF(COUNT(E47,G47)&lt;2,"Eksik giriş",ROUND(E47*G47,2)))</f>
      </c>
      <c r="I47" s="39" t="str">
        <f>IF(COUNTA(A47:G47)=0,"",IF(OR(COUNT(A47,B47,E47,G47)&lt;4,C47="",D47="",F47=""),"Eksik giriş",IF(COUNTIFS('Özet'!$B$10:$E$10,B47)&lt;&gt;1,"Dönem yok / tekrar",IF(OR(E47&lt;0,G47&lt;0),"Negatif giriş","Uygun"))))</f>
      </c>
    </row>
    <row r="48" ht="24" customHeight="1">
      <c r="A48" s="8"/>
      <c r="B48" s="7"/>
      <c r="C48" s="7"/>
      <c r="D48" s="7"/>
      <c r="E48" s="40"/>
      <c r="F48" s="7"/>
      <c r="G48" s="40"/>
      <c r="H48" s="20" t="str">
        <f>IF(COUNTA(A48:G48)=0,"",IF(COUNT(E48,G48)&lt;2,"Eksik giriş",ROUND(E48*G48,2)))</f>
      </c>
      <c r="I48" s="39" t="str">
        <f>IF(COUNTA(A48:G48)=0,"",IF(OR(COUNT(A48,B48,E48,G48)&lt;4,C48="",D48="",F48=""),"Eksik giriş",IF(COUNTIFS('Özet'!$B$10:$E$10,B48)&lt;&gt;1,"Dönem yok / tekrar",IF(OR(E48&lt;0,G48&lt;0),"Negatif giriş","Uygun"))))</f>
      </c>
    </row>
    <row r="49" ht="24" customHeight="1">
      <c r="A49" s="8"/>
      <c r="B49" s="7"/>
      <c r="C49" s="7"/>
      <c r="D49" s="7"/>
      <c r="E49" s="40"/>
      <c r="F49" s="7"/>
      <c r="G49" s="40"/>
      <c r="H49" s="20" t="str">
        <f>IF(COUNTA(A49:G49)=0,"",IF(COUNT(E49,G49)&lt;2,"Eksik giriş",ROUND(E49*G49,2)))</f>
      </c>
      <c r="I49" s="39" t="str">
        <f>IF(COUNTA(A49:G49)=0,"",IF(OR(COUNT(A49,B49,E49,G49)&lt;4,C49="",D49="",F49=""),"Eksik giriş",IF(COUNTIFS('Özet'!$B$10:$E$10,B49)&lt;&gt;1,"Dönem yok / tekrar",IF(OR(E49&lt;0,G49&lt;0),"Negatif giriş","Uygun"))))</f>
      </c>
    </row>
    <row r="50" ht="24" customHeight="1">
      <c r="A50" s="8"/>
      <c r="B50" s="7"/>
      <c r="C50" s="7"/>
      <c r="D50" s="7"/>
      <c r="E50" s="40"/>
      <c r="F50" s="7"/>
      <c r="G50" s="40"/>
      <c r="H50" s="20" t="str">
        <f>IF(COUNTA(A50:G50)=0,"",IF(COUNT(E50,G50)&lt;2,"Eksik giriş",ROUND(E50*G50,2)))</f>
      </c>
      <c r="I50" s="39" t="str">
        <f>IF(COUNTA(A50:G50)=0,"",IF(OR(COUNT(A50,B50,E50,G50)&lt;4,C50="",D50="",F50=""),"Eksik giriş",IF(COUNTIFS('Özet'!$B$10:$E$10,B50)&lt;&gt;1,"Dönem yok / tekrar",IF(OR(E50&lt;0,G50&lt;0),"Negatif giriş","Uygun"))))</f>
      </c>
    </row>
    <row r="51" ht="24" customHeight="1">
      <c r="A51" s="8"/>
      <c r="B51" s="7"/>
      <c r="C51" s="7"/>
      <c r="D51" s="7"/>
      <c r="E51" s="40"/>
      <c r="F51" s="7"/>
      <c r="G51" s="40"/>
      <c r="H51" s="20" t="str">
        <f>IF(COUNTA(A51:G51)=0,"",IF(COUNT(E51,G51)&lt;2,"Eksik giriş",ROUND(E51*G51,2)))</f>
      </c>
      <c r="I51" s="39" t="str">
        <f>IF(COUNTA(A51:G51)=0,"",IF(OR(COUNT(A51,B51,E51,G51)&lt;4,C51="",D51="",F51=""),"Eksik giriş",IF(COUNTIFS('Özet'!$B$10:$E$10,B51)&lt;&gt;1,"Dönem yok / tekrar",IF(OR(E51&lt;0,G51&lt;0),"Negatif giriş","Uygun"))))</f>
      </c>
    </row>
    <row r="52" ht="24" customHeight="1">
      <c r="A52" s="8"/>
      <c r="B52" s="7"/>
      <c r="C52" s="7"/>
      <c r="D52" s="7"/>
      <c r="E52" s="40"/>
      <c r="F52" s="7"/>
      <c r="G52" s="40"/>
      <c r="H52" s="20" t="str">
        <f>IF(COUNTA(A52:G52)=0,"",IF(COUNT(E52,G52)&lt;2,"Eksik giriş",ROUND(E52*G52,2)))</f>
      </c>
      <c r="I52" s="39" t="str">
        <f>IF(COUNTA(A52:G52)=0,"",IF(OR(COUNT(A52,B52,E52,G52)&lt;4,C52="",D52="",F52=""),"Eksik giriş",IF(COUNTIFS('Özet'!$B$10:$E$10,B52)&lt;&gt;1,"Dönem yok / tekrar",IF(OR(E52&lt;0,G52&lt;0),"Negatif giriş","Uygun"))))</f>
      </c>
    </row>
    <row r="53" ht="24" customHeight="1">
      <c r="A53" s="8"/>
      <c r="B53" s="7"/>
      <c r="C53" s="7"/>
      <c r="D53" s="7"/>
      <c r="E53" s="40"/>
      <c r="F53" s="7"/>
      <c r="G53" s="40"/>
      <c r="H53" s="20" t="str">
        <f>IF(COUNTA(A53:G53)=0,"",IF(COUNT(E53,G53)&lt;2,"Eksik giriş",ROUND(E53*G53,2)))</f>
      </c>
      <c r="I53" s="39" t="str">
        <f>IF(COUNTA(A53:G53)=0,"",IF(OR(COUNT(A53,B53,E53,G53)&lt;4,C53="",D53="",F53=""),"Eksik giriş",IF(COUNTIFS('Özet'!$B$10:$E$10,B53)&lt;&gt;1,"Dönem yok / tekrar",IF(OR(E53&lt;0,G53&lt;0),"Negatif giriş","Uygun"))))</f>
      </c>
    </row>
    <row r="54" ht="24" customHeight="1">
      <c r="A54" s="8"/>
      <c r="B54" s="7"/>
      <c r="C54" s="7"/>
      <c r="D54" s="7"/>
      <c r="E54" s="40"/>
      <c r="F54" s="7"/>
      <c r="G54" s="40"/>
      <c r="H54" s="20" t="str">
        <f>IF(COUNTA(A54:G54)=0,"",IF(COUNT(E54,G54)&lt;2,"Eksik giriş",ROUND(E54*G54,2)))</f>
      </c>
      <c r="I54" s="39" t="str">
        <f>IF(COUNTA(A54:G54)=0,"",IF(OR(COUNT(A54,B54,E54,G54)&lt;4,C54="",D54="",F54=""),"Eksik giriş",IF(COUNTIFS('Özet'!$B$10:$E$10,B54)&lt;&gt;1,"Dönem yok / tekrar",IF(OR(E54&lt;0,G54&lt;0),"Negatif giriş","Uygun"))))</f>
      </c>
    </row>
    <row r="55" ht="24" customHeight="1">
      <c r="A55" s="8"/>
      <c r="B55" s="7"/>
      <c r="C55" s="7"/>
      <c r="D55" s="7"/>
      <c r="E55" s="40"/>
      <c r="F55" s="7"/>
      <c r="G55" s="40"/>
      <c r="H55" s="20" t="str">
        <f>IF(COUNTA(A55:G55)=0,"",IF(COUNT(E55,G55)&lt;2,"Eksik giriş",ROUND(E55*G55,2)))</f>
      </c>
      <c r="I55" s="39" t="str">
        <f>IF(COUNTA(A55:G55)=0,"",IF(OR(COUNT(A55,B55,E55,G55)&lt;4,C55="",D55="",F55=""),"Eksik giriş",IF(COUNTIFS('Özet'!$B$10:$E$10,B55)&lt;&gt;1,"Dönem yok / tekrar",IF(OR(E55&lt;0,G55&lt;0),"Negatif giriş","Uygun"))))</f>
      </c>
    </row>
    <row r="56" ht="24" customHeight="1">
      <c r="A56" s="8"/>
      <c r="B56" s="7"/>
      <c r="C56" s="7"/>
      <c r="D56" s="7"/>
      <c r="E56" s="40"/>
      <c r="F56" s="7"/>
      <c r="G56" s="40"/>
      <c r="H56" s="20" t="str">
        <f>IF(COUNTA(A56:G56)=0,"",IF(COUNT(E56,G56)&lt;2,"Eksik giriş",ROUND(E56*G56,2)))</f>
      </c>
      <c r="I56" s="39" t="str">
        <f>IF(COUNTA(A56:G56)=0,"",IF(OR(COUNT(A56,B56,E56,G56)&lt;4,C56="",D56="",F56=""),"Eksik giriş",IF(COUNTIFS('Özet'!$B$10:$E$10,B56)&lt;&gt;1,"Dönem yok / tekrar",IF(OR(E56&lt;0,G56&lt;0),"Negatif giriş","Uygun"))))</f>
      </c>
    </row>
    <row r="57" ht="24" customHeight="1">
      <c r="A57" s="8"/>
      <c r="B57" s="7"/>
      <c r="C57" s="7"/>
      <c r="D57" s="7"/>
      <c r="E57" s="40"/>
      <c r="F57" s="7"/>
      <c r="G57" s="40"/>
      <c r="H57" s="20" t="str">
        <f>IF(COUNTA(A57:G57)=0,"",IF(COUNT(E57,G57)&lt;2,"Eksik giriş",ROUND(E57*G57,2)))</f>
      </c>
      <c r="I57" s="39" t="str">
        <f>IF(COUNTA(A57:G57)=0,"",IF(OR(COUNT(A57,B57,E57,G57)&lt;4,C57="",D57="",F57=""),"Eksik giriş",IF(COUNTIFS('Özet'!$B$10:$E$10,B57)&lt;&gt;1,"Dönem yok / tekrar",IF(OR(E57&lt;0,G57&lt;0),"Negatif giriş","Uygun"))))</f>
      </c>
    </row>
    <row r="58" ht="24" customHeight="1">
      <c r="A58" s="8"/>
      <c r="B58" s="7"/>
      <c r="C58" s="7"/>
      <c r="D58" s="7"/>
      <c r="E58" s="40"/>
      <c r="F58" s="7"/>
      <c r="G58" s="40"/>
      <c r="H58" s="20" t="str">
        <f>IF(COUNTA(A58:G58)=0,"",IF(COUNT(E58,G58)&lt;2,"Eksik giriş",ROUND(E58*G58,2)))</f>
      </c>
      <c r="I58" s="39" t="str">
        <f>IF(COUNTA(A58:G58)=0,"",IF(OR(COUNT(A58,B58,E58,G58)&lt;4,C58="",D58="",F58=""),"Eksik giriş",IF(COUNTIFS('Özet'!$B$10:$E$10,B58)&lt;&gt;1,"Dönem yok / tekrar",IF(OR(E58&lt;0,G58&lt;0),"Negatif giriş","Uygun"))))</f>
      </c>
    </row>
    <row r="59" ht="24" customHeight="1">
      <c r="A59" s="8"/>
      <c r="B59" s="7"/>
      <c r="C59" s="7"/>
      <c r="D59" s="7"/>
      <c r="E59" s="40"/>
      <c r="F59" s="7"/>
      <c r="G59" s="40"/>
      <c r="H59" s="20" t="str">
        <f>IF(COUNTA(A59:G59)=0,"",IF(COUNT(E59,G59)&lt;2,"Eksik giriş",ROUND(E59*G59,2)))</f>
      </c>
      <c r="I59" s="39" t="str">
        <f>IF(COUNTA(A59:G59)=0,"",IF(OR(COUNT(A59,B59,E59,G59)&lt;4,C59="",D59="",F59=""),"Eksik giriş",IF(COUNTIFS('Özet'!$B$10:$E$10,B59)&lt;&gt;1,"Dönem yok / tekrar",IF(OR(E59&lt;0,G59&lt;0),"Negatif giriş","Uygun"))))</f>
      </c>
    </row>
    <row r="60" ht="24" customHeight="1">
      <c r="A60" s="8"/>
      <c r="B60" s="7"/>
      <c r="C60" s="7"/>
      <c r="D60" s="7"/>
      <c r="E60" s="40"/>
      <c r="F60" s="7"/>
      <c r="G60" s="40"/>
      <c r="H60" s="20" t="str">
        <f>IF(COUNTA(A60:G60)=0,"",IF(COUNT(E60,G60)&lt;2,"Eksik giriş",ROUND(E60*G60,2)))</f>
      </c>
      <c r="I60" s="39" t="str">
        <f>IF(COUNTA(A60:G60)=0,"",IF(OR(COUNT(A60,B60,E60,G60)&lt;4,C60="",D60="",F60=""),"Eksik giriş",IF(COUNTIFS('Özet'!$B$10:$E$10,B60)&lt;&gt;1,"Dönem yok / tekrar",IF(OR(E60&lt;0,G60&lt;0),"Negatif giriş","Uygun"))))</f>
      </c>
    </row>
    <row r="61" ht="24" customHeight="1">
      <c r="A61" s="8"/>
      <c r="B61" s="7"/>
      <c r="C61" s="7"/>
      <c r="D61" s="7"/>
      <c r="E61" s="40"/>
      <c r="F61" s="7"/>
      <c r="G61" s="40"/>
      <c r="H61" s="20" t="str">
        <f>IF(COUNTA(A61:G61)=0,"",IF(COUNT(E61,G61)&lt;2,"Eksik giriş",ROUND(E61*G61,2)))</f>
      </c>
      <c r="I61" s="39" t="str">
        <f>IF(COUNTA(A61:G61)=0,"",IF(OR(COUNT(A61,B61,E61,G61)&lt;4,C61="",D61="",F61=""),"Eksik giriş",IF(COUNTIFS('Özet'!$B$10:$E$10,B61)&lt;&gt;1,"Dönem yok / tekrar",IF(OR(E61&lt;0,G61&lt;0),"Negatif giriş","Uygun"))))</f>
      </c>
    </row>
    <row r="62" ht="24" customHeight="1">
      <c r="A62" s="8"/>
      <c r="B62" s="7"/>
      <c r="C62" s="7"/>
      <c r="D62" s="7"/>
      <c r="E62" s="40"/>
      <c r="F62" s="7"/>
      <c r="G62" s="40"/>
      <c r="H62" s="20" t="str">
        <f>IF(COUNTA(A62:G62)=0,"",IF(COUNT(E62,G62)&lt;2,"Eksik giriş",ROUND(E62*G62,2)))</f>
      </c>
      <c r="I62" s="39" t="str">
        <f>IF(COUNTA(A62:G62)=0,"",IF(OR(COUNT(A62,B62,E62,G62)&lt;4,C62="",D62="",F62=""),"Eksik giriş",IF(COUNTIFS('Özet'!$B$10:$E$10,B62)&lt;&gt;1,"Dönem yok / tekrar",IF(OR(E62&lt;0,G62&lt;0),"Negatif giriş","Uygun"))))</f>
      </c>
    </row>
    <row r="63" ht="24" customHeight="1">
      <c r="A63" s="8"/>
      <c r="B63" s="7"/>
      <c r="C63" s="7"/>
      <c r="D63" s="7"/>
      <c r="E63" s="40"/>
      <c r="F63" s="7"/>
      <c r="G63" s="40"/>
      <c r="H63" s="20" t="str">
        <f>IF(COUNTA(A63:G63)=0,"",IF(COUNT(E63,G63)&lt;2,"Eksik giriş",ROUND(E63*G63,2)))</f>
      </c>
      <c r="I63" s="39" t="str">
        <f>IF(COUNTA(A63:G63)=0,"",IF(OR(COUNT(A63,B63,E63,G63)&lt;4,C63="",D63="",F63=""),"Eksik giriş",IF(COUNTIFS('Özet'!$B$10:$E$10,B63)&lt;&gt;1,"Dönem yok / tekrar",IF(OR(E63&lt;0,G63&lt;0),"Negatif giriş","Uygun"))))</f>
      </c>
    </row>
    <row r="64" ht="24" customHeight="1">
      <c r="A64" s="8"/>
      <c r="B64" s="7"/>
      <c r="C64" s="7"/>
      <c r="D64" s="7"/>
      <c r="E64" s="40"/>
      <c r="F64" s="7"/>
      <c r="G64" s="40"/>
      <c r="H64" s="20" t="str">
        <f>IF(COUNTA(A64:G64)=0,"",IF(COUNT(E64,G64)&lt;2,"Eksik giriş",ROUND(E64*G64,2)))</f>
      </c>
      <c r="I64" s="39" t="str">
        <f>IF(COUNTA(A64:G64)=0,"",IF(OR(COUNT(A64,B64,E64,G64)&lt;4,C64="",D64="",F64=""),"Eksik giriş",IF(COUNTIFS('Özet'!$B$10:$E$10,B64)&lt;&gt;1,"Dönem yok / tekrar",IF(OR(E64&lt;0,G64&lt;0),"Negatif giriş","Uygun"))))</f>
      </c>
    </row>
    <row r="65" ht="24" customHeight="1">
      <c r="A65" s="8"/>
      <c r="B65" s="7"/>
      <c r="C65" s="7"/>
      <c r="D65" s="7"/>
      <c r="E65" s="40"/>
      <c r="F65" s="7"/>
      <c r="G65" s="40"/>
      <c r="H65" s="20" t="str">
        <f>IF(COUNTA(A65:G65)=0,"",IF(COUNT(E65,G65)&lt;2,"Eksik giriş",ROUND(E65*G65,2)))</f>
      </c>
      <c r="I65" s="39" t="str">
        <f>IF(COUNTA(A65:G65)=0,"",IF(OR(COUNT(A65,B65,E65,G65)&lt;4,C65="",D65="",F65=""),"Eksik giriş",IF(COUNTIFS('Özet'!$B$10:$E$10,B65)&lt;&gt;1,"Dönem yok / tekrar",IF(OR(E65&lt;0,G65&lt;0),"Negatif giriş","Uygun"))))</f>
      </c>
    </row>
    <row r="66" ht="24" customHeight="1">
      <c r="A66" s="8"/>
      <c r="B66" s="7"/>
      <c r="C66" s="7"/>
      <c r="D66" s="7"/>
      <c r="E66" s="40"/>
      <c r="F66" s="7"/>
      <c r="G66" s="40"/>
      <c r="H66" s="20" t="str">
        <f>IF(COUNTA(A66:G66)=0,"",IF(COUNT(E66,G66)&lt;2,"Eksik giriş",ROUND(E66*G66,2)))</f>
      </c>
      <c r="I66" s="39" t="str">
        <f>IF(COUNTA(A66:G66)=0,"",IF(OR(COUNT(A66,B66,E66,G66)&lt;4,C66="",D66="",F66=""),"Eksik giriş",IF(COUNTIFS('Özet'!$B$10:$E$10,B66)&lt;&gt;1,"Dönem yok / tekrar",IF(OR(E66&lt;0,G66&lt;0),"Negatif giriş","Uygun"))))</f>
      </c>
    </row>
    <row r="67" ht="24" customHeight="1">
      <c r="A67" s="8"/>
      <c r="B67" s="7"/>
      <c r="C67" s="7"/>
      <c r="D67" s="7"/>
      <c r="E67" s="40"/>
      <c r="F67" s="7"/>
      <c r="G67" s="40"/>
      <c r="H67" s="20" t="str">
        <f>IF(COUNTA(A67:G67)=0,"",IF(COUNT(E67,G67)&lt;2,"Eksik giriş",ROUND(E67*G67,2)))</f>
      </c>
      <c r="I67" s="39" t="str">
        <f>IF(COUNTA(A67:G67)=0,"",IF(OR(COUNT(A67,B67,E67,G67)&lt;4,C67="",D67="",F67=""),"Eksik giriş",IF(COUNTIFS('Özet'!$B$10:$E$10,B67)&lt;&gt;1,"Dönem yok / tekrar",IF(OR(E67&lt;0,G67&lt;0),"Negatif giriş","Uygun"))))</f>
      </c>
    </row>
    <row r="68" ht="24" customHeight="1">
      <c r="A68" s="8"/>
      <c r="B68" s="7"/>
      <c r="C68" s="7"/>
      <c r="D68" s="7"/>
      <c r="E68" s="40"/>
      <c r="F68" s="7"/>
      <c r="G68" s="40"/>
      <c r="H68" s="20" t="str">
        <f>IF(COUNTA(A68:G68)=0,"",IF(COUNT(E68,G68)&lt;2,"Eksik giriş",ROUND(E68*G68,2)))</f>
      </c>
      <c r="I68" s="39" t="str">
        <f>IF(COUNTA(A68:G68)=0,"",IF(OR(COUNT(A68,B68,E68,G68)&lt;4,C68="",D68="",F68=""),"Eksik giriş",IF(COUNTIFS('Özet'!$B$10:$E$10,B68)&lt;&gt;1,"Dönem yok / tekrar",IF(OR(E68&lt;0,G68&lt;0),"Negatif giriş","Uygun"))))</f>
      </c>
    </row>
    <row r="69" ht="24" customHeight="1">
      <c r="A69" s="8"/>
      <c r="B69" s="7"/>
      <c r="C69" s="7"/>
      <c r="D69" s="7"/>
      <c r="E69" s="40"/>
      <c r="F69" s="7"/>
      <c r="G69" s="40"/>
      <c r="H69" s="20" t="str">
        <f>IF(COUNTA(A69:G69)=0,"",IF(COUNT(E69,G69)&lt;2,"Eksik giriş",ROUND(E69*G69,2)))</f>
      </c>
      <c r="I69" s="39" t="str">
        <f>IF(COUNTA(A69:G69)=0,"",IF(OR(COUNT(A69,B69,E69,G69)&lt;4,C69="",D69="",F69=""),"Eksik giriş",IF(COUNTIFS('Özet'!$B$10:$E$10,B69)&lt;&gt;1,"Dönem yok / tekrar",IF(OR(E69&lt;0,G69&lt;0),"Negatif giriş","Uygun"))))</f>
      </c>
    </row>
    <row r="70" ht="24" customHeight="1">
      <c r="A70" s="8"/>
      <c r="B70" s="7"/>
      <c r="C70" s="7"/>
      <c r="D70" s="7"/>
      <c r="E70" s="40"/>
      <c r="F70" s="7"/>
      <c r="G70" s="40"/>
      <c r="H70" s="20" t="str">
        <f>IF(COUNTA(A70:G70)=0,"",IF(COUNT(E70,G70)&lt;2,"Eksik giriş",ROUND(E70*G70,2)))</f>
      </c>
      <c r="I70" s="39" t="str">
        <f>IF(COUNTA(A70:G70)=0,"",IF(OR(COUNT(A70,B70,E70,G70)&lt;4,C70="",D70="",F70=""),"Eksik giriş",IF(COUNTIFS('Özet'!$B$10:$E$10,B70)&lt;&gt;1,"Dönem yok / tekrar",IF(OR(E70&lt;0,G70&lt;0),"Negatif giriş","Uygun"))))</f>
      </c>
    </row>
    <row r="71" ht="24" customHeight="1">
      <c r="A71" s="8"/>
      <c r="B71" s="7"/>
      <c r="C71" s="7"/>
      <c r="D71" s="7"/>
      <c r="E71" s="40"/>
      <c r="F71" s="7"/>
      <c r="G71" s="40"/>
      <c r="H71" s="20" t="str">
        <f>IF(COUNTA(A71:G71)=0,"",IF(COUNT(E71,G71)&lt;2,"Eksik giriş",ROUND(E71*G71,2)))</f>
      </c>
      <c r="I71" s="39" t="str">
        <f>IF(COUNTA(A71:G71)=0,"",IF(OR(COUNT(A71,B71,E71,G71)&lt;4,C71="",D71="",F71=""),"Eksik giriş",IF(COUNTIFS('Özet'!$B$10:$E$10,B71)&lt;&gt;1,"Dönem yok / tekrar",IF(OR(E71&lt;0,G71&lt;0),"Negatif giriş","Uygun"))))</f>
      </c>
    </row>
    <row r="72" ht="24" customHeight="1">
      <c r="A72" s="8"/>
      <c r="B72" s="7"/>
      <c r="C72" s="7"/>
      <c r="D72" s="7"/>
      <c r="E72" s="40"/>
      <c r="F72" s="7"/>
      <c r="G72" s="40"/>
      <c r="H72" s="20" t="str">
        <f>IF(COUNTA(A72:G72)=0,"",IF(COUNT(E72,G72)&lt;2,"Eksik giriş",ROUND(E72*G72,2)))</f>
      </c>
      <c r="I72" s="39" t="str">
        <f>IF(COUNTA(A72:G72)=0,"",IF(OR(COUNT(A72,B72,E72,G72)&lt;4,C72="",D72="",F72=""),"Eksik giriş",IF(COUNTIFS('Özet'!$B$10:$E$10,B72)&lt;&gt;1,"Dönem yok / tekrar",IF(OR(E72&lt;0,G72&lt;0),"Negatif giriş","Uygun"))))</f>
      </c>
    </row>
    <row r="73" ht="24" customHeight="1">
      <c r="A73" s="8"/>
      <c r="B73" s="7"/>
      <c r="C73" s="7"/>
      <c r="D73" s="7"/>
      <c r="E73" s="40"/>
      <c r="F73" s="7"/>
      <c r="G73" s="40"/>
      <c r="H73" s="20" t="str">
        <f>IF(COUNTA(A73:G73)=0,"",IF(COUNT(E73,G73)&lt;2,"Eksik giriş",ROUND(E73*G73,2)))</f>
      </c>
      <c r="I73" s="39" t="str">
        <f>IF(COUNTA(A73:G73)=0,"",IF(OR(COUNT(A73,B73,E73,G73)&lt;4,C73="",D73="",F73=""),"Eksik giriş",IF(COUNTIFS('Özet'!$B$10:$E$10,B73)&lt;&gt;1,"Dönem yok / tekrar",IF(OR(E73&lt;0,G73&lt;0),"Negatif giriş","Uygun"))))</f>
      </c>
    </row>
    <row r="74" ht="24" customHeight="1">
      <c r="A74" s="8"/>
      <c r="B74" s="7"/>
      <c r="C74" s="7"/>
      <c r="D74" s="7"/>
      <c r="E74" s="40"/>
      <c r="F74" s="7"/>
      <c r="G74" s="40"/>
      <c r="H74" s="20" t="str">
        <f>IF(COUNTA(A74:G74)=0,"",IF(COUNT(E74,G74)&lt;2,"Eksik giriş",ROUND(E74*G74,2)))</f>
      </c>
      <c r="I74" s="39" t="str">
        <f>IF(COUNTA(A74:G74)=0,"",IF(OR(COUNT(A74,B74,E74,G74)&lt;4,C74="",D74="",F74=""),"Eksik giriş",IF(COUNTIFS('Özet'!$B$10:$E$10,B74)&lt;&gt;1,"Dönem yok / tekrar",IF(OR(E74&lt;0,G74&lt;0),"Negatif giriş","Uygun"))))</f>
      </c>
    </row>
    <row r="75" ht="24" customHeight="1">
      <c r="A75" s="8"/>
      <c r="B75" s="7"/>
      <c r="C75" s="7"/>
      <c r="D75" s="7"/>
      <c r="E75" s="40"/>
      <c r="F75" s="7"/>
      <c r="G75" s="40"/>
      <c r="H75" s="20" t="str">
        <f>IF(COUNTA(A75:G75)=0,"",IF(COUNT(E75,G75)&lt;2,"Eksik giriş",ROUND(E75*G75,2)))</f>
      </c>
      <c r="I75" s="39" t="str">
        <f>IF(COUNTA(A75:G75)=0,"",IF(OR(COUNT(A75,B75,E75,G75)&lt;4,C75="",D75="",F75=""),"Eksik giriş",IF(COUNTIFS('Özet'!$B$10:$E$10,B75)&lt;&gt;1,"Dönem yok / tekrar",IF(OR(E75&lt;0,G75&lt;0),"Negatif giriş","Uygun"))))</f>
      </c>
    </row>
    <row r="76" ht="24" customHeight="1">
      <c r="A76" s="8"/>
      <c r="B76" s="7"/>
      <c r="C76" s="7"/>
      <c r="D76" s="7"/>
      <c r="E76" s="40"/>
      <c r="F76" s="7"/>
      <c r="G76" s="40"/>
      <c r="H76" s="20" t="str">
        <f>IF(COUNTA(A76:G76)=0,"",IF(COUNT(E76,G76)&lt;2,"Eksik giriş",ROUND(E76*G76,2)))</f>
      </c>
      <c r="I76" s="39" t="str">
        <f>IF(COUNTA(A76:G76)=0,"",IF(OR(COUNT(A76,B76,E76,G76)&lt;4,C76="",D76="",F76=""),"Eksik giriş",IF(COUNTIFS('Özet'!$B$10:$E$10,B76)&lt;&gt;1,"Dönem yok / tekrar",IF(OR(E76&lt;0,G76&lt;0),"Negatif giriş","Uygun"))))</f>
      </c>
    </row>
    <row r="77" ht="24" customHeight="1">
      <c r="A77" s="8"/>
      <c r="B77" s="7"/>
      <c r="C77" s="7"/>
      <c r="D77" s="7"/>
      <c r="E77" s="40"/>
      <c r="F77" s="7"/>
      <c r="G77" s="40"/>
      <c r="H77" s="20" t="str">
        <f>IF(COUNTA(A77:G77)=0,"",IF(COUNT(E77,G77)&lt;2,"Eksik giriş",ROUND(E77*G77,2)))</f>
      </c>
      <c r="I77" s="39" t="str">
        <f>IF(COUNTA(A77:G77)=0,"",IF(OR(COUNT(A77,B77,E77,G77)&lt;4,C77="",D77="",F77=""),"Eksik giriş",IF(COUNTIFS('Özet'!$B$10:$E$10,B77)&lt;&gt;1,"Dönem yok / tekrar",IF(OR(E77&lt;0,G77&lt;0),"Negatif giriş","Uygun"))))</f>
      </c>
    </row>
    <row r="78" ht="24" customHeight="1">
      <c r="A78" s="8"/>
      <c r="B78" s="7"/>
      <c r="C78" s="7"/>
      <c r="D78" s="7"/>
      <c r="E78" s="40"/>
      <c r="F78" s="7"/>
      <c r="G78" s="40"/>
      <c r="H78" s="20" t="str">
        <f>IF(COUNTA(A78:G78)=0,"",IF(COUNT(E78,G78)&lt;2,"Eksik giriş",ROUND(E78*G78,2)))</f>
      </c>
      <c r="I78" s="39" t="str">
        <f>IF(COUNTA(A78:G78)=0,"",IF(OR(COUNT(A78,B78,E78,G78)&lt;4,C78="",D78="",F78=""),"Eksik giriş",IF(COUNTIFS('Özet'!$B$10:$E$10,B78)&lt;&gt;1,"Dönem yok / tekrar",IF(OR(E78&lt;0,G78&lt;0),"Negatif giriş","Uygun"))))</f>
      </c>
    </row>
    <row r="79" ht="24" customHeight="1">
      <c r="A79" s="8"/>
      <c r="B79" s="7"/>
      <c r="C79" s="7"/>
      <c r="D79" s="7"/>
      <c r="E79" s="40"/>
      <c r="F79" s="7"/>
      <c r="G79" s="40"/>
      <c r="H79" s="20" t="str">
        <f>IF(COUNTA(A79:G79)=0,"",IF(COUNT(E79,G79)&lt;2,"Eksik giriş",ROUND(E79*G79,2)))</f>
      </c>
      <c r="I79" s="39" t="str">
        <f>IF(COUNTA(A79:G79)=0,"",IF(OR(COUNT(A79,B79,E79,G79)&lt;4,C79="",D79="",F79=""),"Eksik giriş",IF(COUNTIFS('Özet'!$B$10:$E$10,B79)&lt;&gt;1,"Dönem yok / tekrar",IF(OR(E79&lt;0,G79&lt;0),"Negatif giriş","Uygun"))))</f>
      </c>
    </row>
    <row r="80" ht="24" customHeight="1">
      <c r="A80" s="8"/>
      <c r="B80" s="7"/>
      <c r="C80" s="7"/>
      <c r="D80" s="7"/>
      <c r="E80" s="40"/>
      <c r="F80" s="7"/>
      <c r="G80" s="40"/>
      <c r="H80" s="20" t="str">
        <f>IF(COUNTA(A80:G80)=0,"",IF(COUNT(E80,G80)&lt;2,"Eksik giriş",ROUND(E80*G80,2)))</f>
      </c>
      <c r="I80" s="39" t="str">
        <f>IF(COUNTA(A80:G80)=0,"",IF(OR(COUNT(A80,B80,E80,G80)&lt;4,C80="",D80="",F80=""),"Eksik giriş",IF(COUNTIFS('Özet'!$B$10:$E$10,B80)&lt;&gt;1,"Dönem yok / tekrar",IF(OR(E80&lt;0,G80&lt;0),"Negatif giriş","Uygun"))))</f>
      </c>
    </row>
    <row r="81" ht="24" customHeight="1">
      <c r="A81" s="8"/>
      <c r="B81" s="7"/>
      <c r="C81" s="7"/>
      <c r="D81" s="7"/>
      <c r="E81" s="40"/>
      <c r="F81" s="7"/>
      <c r="G81" s="40"/>
      <c r="H81" s="20" t="str">
        <f>IF(COUNTA(A81:G81)=0,"",IF(COUNT(E81,G81)&lt;2,"Eksik giriş",ROUND(E81*G81,2)))</f>
      </c>
      <c r="I81" s="39" t="str">
        <f>IF(COUNTA(A81:G81)=0,"",IF(OR(COUNT(A81,B81,E81,G81)&lt;4,C81="",D81="",F81=""),"Eksik giriş",IF(COUNTIFS('Özet'!$B$10:$E$10,B81)&lt;&gt;1,"Dönem yok / tekrar",IF(OR(E81&lt;0,G81&lt;0),"Negatif giriş","Uygun"))))</f>
      </c>
    </row>
    <row r="82" ht="24" customHeight="1">
      <c r="A82" s="8"/>
      <c r="B82" s="7"/>
      <c r="C82" s="7"/>
      <c r="D82" s="7"/>
      <c r="E82" s="40"/>
      <c r="F82" s="7"/>
      <c r="G82" s="40"/>
      <c r="H82" s="20" t="str">
        <f>IF(COUNTA(A82:G82)=0,"",IF(COUNT(E82,G82)&lt;2,"Eksik giriş",ROUND(E82*G82,2)))</f>
      </c>
      <c r="I82" s="39" t="str">
        <f>IF(COUNTA(A82:G82)=0,"",IF(OR(COUNT(A82,B82,E82,G82)&lt;4,C82="",D82="",F82=""),"Eksik giriş",IF(COUNTIFS('Özet'!$B$10:$E$10,B82)&lt;&gt;1,"Dönem yok / tekrar",IF(OR(E82&lt;0,G82&lt;0),"Negatif giriş","Uygun"))))</f>
      </c>
    </row>
    <row r="83" ht="24" customHeight="1">
      <c r="A83" s="8"/>
      <c r="B83" s="7"/>
      <c r="C83" s="7"/>
      <c r="D83" s="7"/>
      <c r="E83" s="40"/>
      <c r="F83" s="7"/>
      <c r="G83" s="40"/>
      <c r="H83" s="20" t="str">
        <f>IF(COUNTA(A83:G83)=0,"",IF(COUNT(E83,G83)&lt;2,"Eksik giriş",ROUND(E83*G83,2)))</f>
      </c>
      <c r="I83" s="39" t="str">
        <f>IF(COUNTA(A83:G83)=0,"",IF(OR(COUNT(A83,B83,E83,G83)&lt;4,C83="",D83="",F83=""),"Eksik giriş",IF(COUNTIFS('Özet'!$B$10:$E$10,B83)&lt;&gt;1,"Dönem yok / tekrar",IF(OR(E83&lt;0,G83&lt;0),"Negatif giriş","Uygun"))))</f>
      </c>
    </row>
    <row r="84" ht="24" customHeight="1">
      <c r="A84" s="8"/>
      <c r="B84" s="7"/>
      <c r="C84" s="7"/>
      <c r="D84" s="7"/>
      <c r="E84" s="40"/>
      <c r="F84" s="7"/>
      <c r="G84" s="40"/>
      <c r="H84" s="20" t="str">
        <f>IF(COUNTA(A84:G84)=0,"",IF(COUNT(E84,G84)&lt;2,"Eksik giriş",ROUND(E84*G84,2)))</f>
      </c>
      <c r="I84" s="39" t="str">
        <f>IF(COUNTA(A84:G84)=0,"",IF(OR(COUNT(A84,B84,E84,G84)&lt;4,C84="",D84="",F84=""),"Eksik giriş",IF(COUNTIFS('Özet'!$B$10:$E$10,B84)&lt;&gt;1,"Dönem yok / tekrar",IF(OR(E84&lt;0,G84&lt;0),"Negatif giriş","Uygun"))))</f>
      </c>
    </row>
    <row r="85" ht="24" customHeight="1">
      <c r="A85" s="8"/>
      <c r="B85" s="7"/>
      <c r="C85" s="7"/>
      <c r="D85" s="7"/>
      <c r="E85" s="40"/>
      <c r="F85" s="7"/>
      <c r="G85" s="40"/>
      <c r="H85" s="20" t="str">
        <f>IF(COUNTA(A85:G85)=0,"",IF(COUNT(E85,G85)&lt;2,"Eksik giriş",ROUND(E85*G85,2)))</f>
      </c>
      <c r="I85" s="39" t="str">
        <f>IF(COUNTA(A85:G85)=0,"",IF(OR(COUNT(A85,B85,E85,G85)&lt;4,C85="",D85="",F85=""),"Eksik giriş",IF(COUNTIFS('Özet'!$B$10:$E$10,B85)&lt;&gt;1,"Dönem yok / tekrar",IF(OR(E85&lt;0,G85&lt;0),"Negatif giriş","Uygun"))))</f>
      </c>
    </row>
    <row r="86" ht="24" customHeight="1">
      <c r="A86" s="8"/>
      <c r="B86" s="7"/>
      <c r="C86" s="7"/>
      <c r="D86" s="7"/>
      <c r="E86" s="40"/>
      <c r="F86" s="7"/>
      <c r="G86" s="40"/>
      <c r="H86" s="20" t="str">
        <f>IF(COUNTA(A86:G86)=0,"",IF(COUNT(E86,G86)&lt;2,"Eksik giriş",ROUND(E86*G86,2)))</f>
      </c>
      <c r="I86" s="39" t="str">
        <f>IF(COUNTA(A86:G86)=0,"",IF(OR(COUNT(A86,B86,E86,G86)&lt;4,C86="",D86="",F86=""),"Eksik giriş",IF(COUNTIFS('Özet'!$B$10:$E$10,B86)&lt;&gt;1,"Dönem yok / tekrar",IF(OR(E86&lt;0,G86&lt;0),"Negatif giriş","Uygun"))))</f>
      </c>
    </row>
    <row r="87" ht="24" customHeight="1">
      <c r="A87" s="8"/>
      <c r="B87" s="7"/>
      <c r="C87" s="7"/>
      <c r="D87" s="7"/>
      <c r="E87" s="40"/>
      <c r="F87" s="7"/>
      <c r="G87" s="40"/>
      <c r="H87" s="20" t="str">
        <f>IF(COUNTA(A87:G87)=0,"",IF(COUNT(E87,G87)&lt;2,"Eksik giriş",ROUND(E87*G87,2)))</f>
      </c>
      <c r="I87" s="39" t="str">
        <f>IF(COUNTA(A87:G87)=0,"",IF(OR(COUNT(A87,B87,E87,G87)&lt;4,C87="",D87="",F87=""),"Eksik giriş",IF(COUNTIFS('Özet'!$B$10:$E$10,B87)&lt;&gt;1,"Dönem yok / tekrar",IF(OR(E87&lt;0,G87&lt;0),"Negatif giriş","Uygun"))))</f>
      </c>
    </row>
    <row r="88" ht="24" customHeight="1">
      <c r="A88" s="8"/>
      <c r="B88" s="7"/>
      <c r="C88" s="7"/>
      <c r="D88" s="7"/>
      <c r="E88" s="40"/>
      <c r="F88" s="7"/>
      <c r="G88" s="40"/>
      <c r="H88" s="20" t="str">
        <f>IF(COUNTA(A88:G88)=0,"",IF(COUNT(E88,G88)&lt;2,"Eksik giriş",ROUND(E88*G88,2)))</f>
      </c>
      <c r="I88" s="39" t="str">
        <f>IF(COUNTA(A88:G88)=0,"",IF(OR(COUNT(A88,B88,E88,G88)&lt;4,C88="",D88="",F88=""),"Eksik giriş",IF(COUNTIFS('Özet'!$B$10:$E$10,B88)&lt;&gt;1,"Dönem yok / tekrar",IF(OR(E88&lt;0,G88&lt;0),"Negatif giriş","Uygun"))))</f>
      </c>
    </row>
    <row r="89" ht="24" customHeight="1">
      <c r="A89" s="8"/>
      <c r="B89" s="7"/>
      <c r="C89" s="7"/>
      <c r="D89" s="7"/>
      <c r="E89" s="40"/>
      <c r="F89" s="7"/>
      <c r="G89" s="40"/>
      <c r="H89" s="20" t="str">
        <f>IF(COUNTA(A89:G89)=0,"",IF(COUNT(E89,G89)&lt;2,"Eksik giriş",ROUND(E89*G89,2)))</f>
      </c>
      <c r="I89" s="39" t="str">
        <f>IF(COUNTA(A89:G89)=0,"",IF(OR(COUNT(A89,B89,E89,G89)&lt;4,C89="",D89="",F89=""),"Eksik giriş",IF(COUNTIFS('Özet'!$B$10:$E$10,B89)&lt;&gt;1,"Dönem yok / tekrar",IF(OR(E89&lt;0,G89&lt;0),"Negatif giriş","Uygun"))))</f>
      </c>
    </row>
    <row r="90" ht="24" customHeight="1">
      <c r="A90" s="8"/>
      <c r="B90" s="7"/>
      <c r="C90" s="7"/>
      <c r="D90" s="7"/>
      <c r="E90" s="40"/>
      <c r="F90" s="7"/>
      <c r="G90" s="40"/>
      <c r="H90" s="20" t="str">
        <f>IF(COUNTA(A90:G90)=0,"",IF(COUNT(E90,G90)&lt;2,"Eksik giriş",ROUND(E90*G90,2)))</f>
      </c>
      <c r="I90" s="39" t="str">
        <f>IF(COUNTA(A90:G90)=0,"",IF(OR(COUNT(A90,B90,E90,G90)&lt;4,C90="",D90="",F90=""),"Eksik giriş",IF(COUNTIFS('Özet'!$B$10:$E$10,B90)&lt;&gt;1,"Dönem yok / tekrar",IF(OR(E90&lt;0,G90&lt;0),"Negatif giriş","Uygun"))))</f>
      </c>
    </row>
    <row r="91" ht="24" customHeight="1">
      <c r="A91" s="8"/>
      <c r="B91" s="7"/>
      <c r="C91" s="7"/>
      <c r="D91" s="7"/>
      <c r="E91" s="40"/>
      <c r="F91" s="7"/>
      <c r="G91" s="40"/>
      <c r="H91" s="20" t="str">
        <f>IF(COUNTA(A91:G91)=0,"",IF(COUNT(E91,G91)&lt;2,"Eksik giriş",ROUND(E91*G91,2)))</f>
      </c>
      <c r="I91" s="39" t="str">
        <f>IF(COUNTA(A91:G91)=0,"",IF(OR(COUNT(A91,B91,E91,G91)&lt;4,C91="",D91="",F91=""),"Eksik giriş",IF(COUNTIFS('Özet'!$B$10:$E$10,B91)&lt;&gt;1,"Dönem yok / tekrar",IF(OR(E91&lt;0,G91&lt;0),"Negatif giriş","Uygun"))))</f>
      </c>
    </row>
    <row r="92" ht="24" customHeight="1">
      <c r="A92" s="8"/>
      <c r="B92" s="7"/>
      <c r="C92" s="7"/>
      <c r="D92" s="7"/>
      <c r="E92" s="40"/>
      <c r="F92" s="7"/>
      <c r="G92" s="40"/>
      <c r="H92" s="20" t="str">
        <f>IF(COUNTA(A92:G92)=0,"",IF(COUNT(E92,G92)&lt;2,"Eksik giriş",ROUND(E92*G92,2)))</f>
      </c>
      <c r="I92" s="39" t="str">
        <f>IF(COUNTA(A92:G92)=0,"",IF(OR(COUNT(A92,B92,E92,G92)&lt;4,C92="",D92="",F92=""),"Eksik giriş",IF(COUNTIFS('Özet'!$B$10:$E$10,B92)&lt;&gt;1,"Dönem yok / tekrar",IF(OR(E92&lt;0,G92&lt;0),"Negatif giriş","Uygun"))))</f>
      </c>
    </row>
    <row r="93" ht="24" customHeight="1">
      <c r="A93" s="8"/>
      <c r="B93" s="7"/>
      <c r="C93" s="7"/>
      <c r="D93" s="7"/>
      <c r="E93" s="40"/>
      <c r="F93" s="7"/>
      <c r="G93" s="40"/>
      <c r="H93" s="20" t="str">
        <f>IF(COUNTA(A93:G93)=0,"",IF(COUNT(E93,G93)&lt;2,"Eksik giriş",ROUND(E93*G93,2)))</f>
      </c>
      <c r="I93" s="39" t="str">
        <f>IF(COUNTA(A93:G93)=0,"",IF(OR(COUNT(A93,B93,E93,G93)&lt;4,C93="",D93="",F93=""),"Eksik giriş",IF(COUNTIFS('Özet'!$B$10:$E$10,B93)&lt;&gt;1,"Dönem yok / tekrar",IF(OR(E93&lt;0,G93&lt;0),"Negatif giriş","Uygun"))))</f>
      </c>
    </row>
    <row r="94" ht="24" customHeight="1">
      <c r="A94" s="8"/>
      <c r="B94" s="7"/>
      <c r="C94" s="7"/>
      <c r="D94" s="7"/>
      <c r="E94" s="40"/>
      <c r="F94" s="7"/>
      <c r="G94" s="40"/>
      <c r="H94" s="20" t="str">
        <f>IF(COUNTA(A94:G94)=0,"",IF(COUNT(E94,G94)&lt;2,"Eksik giriş",ROUND(E94*G94,2)))</f>
      </c>
      <c r="I94" s="39" t="str">
        <f>IF(COUNTA(A94:G94)=0,"",IF(OR(COUNT(A94,B94,E94,G94)&lt;4,C94="",D94="",F94=""),"Eksik giriş",IF(COUNTIFS('Özet'!$B$10:$E$10,B94)&lt;&gt;1,"Dönem yok / tekrar",IF(OR(E94&lt;0,G94&lt;0),"Negatif giriş","Uygun"))))</f>
      </c>
    </row>
    <row r="95" ht="24" customHeight="1">
      <c r="A95" s="8"/>
      <c r="B95" s="7"/>
      <c r="C95" s="7"/>
      <c r="D95" s="7"/>
      <c r="E95" s="40"/>
      <c r="F95" s="7"/>
      <c r="G95" s="40"/>
      <c r="H95" s="20" t="str">
        <f>IF(COUNTA(A95:G95)=0,"",IF(COUNT(E95,G95)&lt;2,"Eksik giriş",ROUND(E95*G95,2)))</f>
      </c>
      <c r="I95" s="39" t="str">
        <f>IF(COUNTA(A95:G95)=0,"",IF(OR(COUNT(A95,B95,E95,G95)&lt;4,C95="",D95="",F95=""),"Eksik giriş",IF(COUNTIFS('Özet'!$B$10:$E$10,B95)&lt;&gt;1,"Dönem yok / tekrar",IF(OR(E95&lt;0,G95&lt;0),"Negatif giriş","Uygun"))))</f>
      </c>
    </row>
    <row r="96" ht="24" customHeight="1">
      <c r="A96" s="8"/>
      <c r="B96" s="7"/>
      <c r="C96" s="7"/>
      <c r="D96" s="7"/>
      <c r="E96" s="40"/>
      <c r="F96" s="7"/>
      <c r="G96" s="40"/>
      <c r="H96" s="20" t="str">
        <f>IF(COUNTA(A96:G96)=0,"",IF(COUNT(E96,G96)&lt;2,"Eksik giriş",ROUND(E96*G96,2)))</f>
      </c>
      <c r="I96" s="39" t="str">
        <f>IF(COUNTA(A96:G96)=0,"",IF(OR(COUNT(A96,B96,E96,G96)&lt;4,C96="",D96="",F96=""),"Eksik giriş",IF(COUNTIFS('Özet'!$B$10:$E$10,B96)&lt;&gt;1,"Dönem yok / tekrar",IF(OR(E96&lt;0,G96&lt;0),"Negatif giriş","Uygun"))))</f>
      </c>
    </row>
    <row r="97" ht="24" customHeight="1">
      <c r="A97" s="8"/>
      <c r="B97" s="7"/>
      <c r="C97" s="7"/>
      <c r="D97" s="7"/>
      <c r="E97" s="40"/>
      <c r="F97" s="7"/>
      <c r="G97" s="40"/>
      <c r="H97" s="20" t="str">
        <f>IF(COUNTA(A97:G97)=0,"",IF(COUNT(E97,G97)&lt;2,"Eksik giriş",ROUND(E97*G97,2)))</f>
      </c>
      <c r="I97" s="39" t="str">
        <f>IF(COUNTA(A97:G97)=0,"",IF(OR(COUNT(A97,B97,E97,G97)&lt;4,C97="",D97="",F97=""),"Eksik giriş",IF(COUNTIFS('Özet'!$B$10:$E$10,B97)&lt;&gt;1,"Dönem yok / tekrar",IF(OR(E97&lt;0,G97&lt;0),"Negatif giriş","Uygun"))))</f>
      </c>
    </row>
    <row r="98" ht="24" customHeight="1">
      <c r="A98" s="8"/>
      <c r="B98" s="7"/>
      <c r="C98" s="7"/>
      <c r="D98" s="7"/>
      <c r="E98" s="40"/>
      <c r="F98" s="7"/>
      <c r="G98" s="40"/>
      <c r="H98" s="20" t="str">
        <f>IF(COUNTA(A98:G98)=0,"",IF(COUNT(E98,G98)&lt;2,"Eksik giriş",ROUND(E98*G98,2)))</f>
      </c>
      <c r="I98" s="39" t="str">
        <f>IF(COUNTA(A98:G98)=0,"",IF(OR(COUNT(A98,B98,E98,G98)&lt;4,C98="",D98="",F98=""),"Eksik giriş",IF(COUNTIFS('Özet'!$B$10:$E$10,B98)&lt;&gt;1,"Dönem yok / tekrar",IF(OR(E98&lt;0,G98&lt;0),"Negatif giriş","Uygun"))))</f>
      </c>
    </row>
    <row r="99" ht="24" customHeight="1">
      <c r="A99" s="8"/>
      <c r="B99" s="7"/>
      <c r="C99" s="7"/>
      <c r="D99" s="7"/>
      <c r="E99" s="40"/>
      <c r="F99" s="7"/>
      <c r="G99" s="40"/>
      <c r="H99" s="20" t="str">
        <f>IF(COUNTA(A99:G99)=0,"",IF(COUNT(E99,G99)&lt;2,"Eksik giriş",ROUND(E99*G99,2)))</f>
      </c>
      <c r="I99" s="39" t="str">
        <f>IF(COUNTA(A99:G99)=0,"",IF(OR(COUNT(A99,B99,E99,G99)&lt;4,C99="",D99="",F99=""),"Eksik giriş",IF(COUNTIFS('Özet'!$B$10:$E$10,B99)&lt;&gt;1,"Dönem yok / tekrar",IF(OR(E99&lt;0,G99&lt;0),"Negatif giriş","Uygun"))))</f>
      </c>
    </row>
    <row r="100" ht="24" customHeight="1">
      <c r="A100" s="8"/>
      <c r="B100" s="7"/>
      <c r="C100" s="7"/>
      <c r="D100" s="7"/>
      <c r="E100" s="40"/>
      <c r="F100" s="7"/>
      <c r="G100" s="40"/>
      <c r="H100" s="20" t="str">
        <f>IF(COUNTA(A100:G100)=0,"",IF(COUNT(E100,G100)&lt;2,"Eksik giriş",ROUND(E100*G100,2)))</f>
      </c>
      <c r="I100" s="39" t="str">
        <f>IF(COUNTA(A100:G100)=0,"",IF(OR(COUNT(A100,B100,E100,G100)&lt;4,C100="",D100="",F100=""),"Eksik giriş",IF(COUNTIFS('Özet'!$B$10:$E$10,B100)&lt;&gt;1,"Dönem yok / tekrar",IF(OR(E100&lt;0,G100&lt;0),"Negatif giriş","Uygun"))))</f>
      </c>
    </row>
    <row r="101" ht="24" customHeight="1">
      <c r="A101" s="8"/>
      <c r="B101" s="7"/>
      <c r="C101" s="7"/>
      <c r="D101" s="7"/>
      <c r="E101" s="40"/>
      <c r="F101" s="7"/>
      <c r="G101" s="40"/>
      <c r="H101" s="20" t="str">
        <f>IF(COUNTA(A101:G101)=0,"",IF(COUNT(E101,G101)&lt;2,"Eksik giriş",ROUND(E101*G101,2)))</f>
      </c>
      <c r="I101" s="39" t="str">
        <f>IF(COUNTA(A101:G101)=0,"",IF(OR(COUNT(A101,B101,E101,G101)&lt;4,C101="",D101="",F101=""),"Eksik giriş",IF(COUNTIFS('Özet'!$B$10:$E$10,B101)&lt;&gt;1,"Dönem yok / tekrar",IF(OR(E101&lt;0,G101&lt;0),"Negatif giriş","Uygun"))))</f>
      </c>
    </row>
    <row r="102" ht="24" customHeight="1">
      <c r="A102" s="8"/>
      <c r="B102" s="7"/>
      <c r="C102" s="7"/>
      <c r="D102" s="7"/>
      <c r="E102" s="40"/>
      <c r="F102" s="7"/>
      <c r="G102" s="40"/>
      <c r="H102" s="20" t="str">
        <f>IF(COUNTA(A102:G102)=0,"",IF(COUNT(E102,G102)&lt;2,"Eksik giriş",ROUND(E102*G102,2)))</f>
      </c>
      <c r="I102" s="39" t="str">
        <f>IF(COUNTA(A102:G102)=0,"",IF(OR(COUNT(A102,B102,E102,G102)&lt;4,C102="",D102="",F102=""),"Eksik giriş",IF(COUNTIFS('Özet'!$B$10:$E$10,B102)&lt;&gt;1,"Dönem yok / tekrar",IF(OR(E102&lt;0,G102&lt;0),"Negatif giriş","Uygun"))))</f>
      </c>
    </row>
    <row r="103" ht="24" customHeight="1">
      <c r="A103" s="8"/>
      <c r="B103" s="7"/>
      <c r="C103" s="7"/>
      <c r="D103" s="7"/>
      <c r="E103" s="40"/>
      <c r="F103" s="7"/>
      <c r="G103" s="40"/>
      <c r="H103" s="20" t="str">
        <f>IF(COUNTA(A103:G103)=0,"",IF(COUNT(E103,G103)&lt;2,"Eksik giriş",ROUND(E103*G103,2)))</f>
      </c>
      <c r="I103" s="39" t="str">
        <f>IF(COUNTA(A103:G103)=0,"",IF(OR(COUNT(A103,B103,E103,G103)&lt;4,C103="",D103="",F103=""),"Eksik giriş",IF(COUNTIFS('Özet'!$B$10:$E$10,B103)&lt;&gt;1,"Dönem yok / tekrar",IF(OR(E103&lt;0,G103&lt;0),"Negatif giriş","Uygun"))))</f>
      </c>
    </row>
    <row r="104" ht="24" customHeight="1">
      <c r="A104" s="8"/>
      <c r="B104" s="7"/>
      <c r="C104" s="7"/>
      <c r="D104" s="7"/>
      <c r="E104" s="40"/>
      <c r="F104" s="7"/>
      <c r="G104" s="40"/>
      <c r="H104" s="20" t="str">
        <f>IF(COUNTA(A104:G104)=0,"",IF(COUNT(E104,G104)&lt;2,"Eksik giriş",ROUND(E104*G104,2)))</f>
      </c>
      <c r="I104" s="39" t="str">
        <f>IF(COUNTA(A104:G104)=0,"",IF(OR(COUNT(A104,B104,E104,G104)&lt;4,C104="",D104="",F104=""),"Eksik giriş",IF(COUNTIFS('Özet'!$B$10:$E$10,B104)&lt;&gt;1,"Dönem yok / tekrar",IF(OR(E104&lt;0,G104&lt;0),"Negatif giriş","Uygun"))))</f>
      </c>
    </row>
    <row r="105" ht="24" customHeight="1">
      <c r="A105" s="8"/>
      <c r="B105" s="7"/>
      <c r="C105" s="7"/>
      <c r="D105" s="7"/>
      <c r="E105" s="40"/>
      <c r="F105" s="7"/>
      <c r="G105" s="40"/>
      <c r="H105" s="20" t="str">
        <f>IF(COUNTA(A105:G105)=0,"",IF(COUNT(E105,G105)&lt;2,"Eksik giriş",ROUND(E105*G105,2)))</f>
      </c>
      <c r="I105" s="39" t="str">
        <f>IF(COUNTA(A105:G105)=0,"",IF(OR(COUNT(A105,B105,E105,G105)&lt;4,C105="",D105="",F105=""),"Eksik giriş",IF(COUNTIFS('Özet'!$B$10:$E$10,B105)&lt;&gt;1,"Dönem yok / tekrar",IF(OR(E105&lt;0,G105&lt;0),"Negatif giriş","Uygun"))))</f>
      </c>
    </row>
    <row r="106" ht="24" customHeight="1">
      <c r="A106" s="8"/>
      <c r="B106" s="7"/>
      <c r="C106" s="7"/>
      <c r="D106" s="7"/>
      <c r="E106" s="40"/>
      <c r="F106" s="7"/>
      <c r="G106" s="40"/>
      <c r="H106" s="20" t="str">
        <f>IF(COUNTA(A106:G106)=0,"",IF(COUNT(E106,G106)&lt;2,"Eksik giriş",ROUND(E106*G106,2)))</f>
      </c>
      <c r="I106" s="39" t="str">
        <f>IF(COUNTA(A106:G106)=0,"",IF(OR(COUNT(A106,B106,E106,G106)&lt;4,C106="",D106="",F106=""),"Eksik giriş",IF(COUNTIFS('Özet'!$B$10:$E$10,B106)&lt;&gt;1,"Dönem yok / tekrar",IF(OR(E106&lt;0,G106&lt;0),"Negatif giriş","Uygun"))))</f>
      </c>
    </row>
    <row r="107" ht="24" customHeight="1">
      <c r="A107" s="8"/>
      <c r="B107" s="7"/>
      <c r="C107" s="7"/>
      <c r="D107" s="7"/>
      <c r="E107" s="40"/>
      <c r="F107" s="7"/>
      <c r="G107" s="40"/>
      <c r="H107" s="20" t="str">
        <f>IF(COUNTA(A107:G107)=0,"",IF(COUNT(E107,G107)&lt;2,"Eksik giriş",ROUND(E107*G107,2)))</f>
      </c>
      <c r="I107" s="39" t="str">
        <f>IF(COUNTA(A107:G107)=0,"",IF(OR(COUNT(A107,B107,E107,G107)&lt;4,C107="",D107="",F107=""),"Eksik giriş",IF(COUNTIFS('Özet'!$B$10:$E$10,B107)&lt;&gt;1,"Dönem yok / tekrar",IF(OR(E107&lt;0,G107&lt;0),"Negatif giriş","Uygun"))))</f>
      </c>
    </row>
  </sheetData>
  <conditionalFormatting sqref="I8:I107">
    <cfRule type="expression" dxfId="9" priority="1">
      <formula>AND(I8&lt;&gt;"",I8&lt;&gt;"Uygun")</formula>
    </cfRule>
  </conditionalFormatting>
  <dataValidations count="3">
    <dataValidation type="whole" operator="between" sqref="B8:B107">
      <formula1>1</formula1>
      <formula2>9999</formula2>
    </dataValidation>
    <dataValidation type="list" sqref="C8:C107">
      <formula1>"İSG Cezası,Malzeme,Avans"</formula1>
    </dataValidation>
    <dataValidation type="list" sqref="F8:F107">
      <formula1>"m²,m,m³,adet,kg,ton,yevmiye,saat,gün,takım"</formula1>
    </dataValidation>
  </dataValidations>
  <pageMargins left="0.7" right="0.7" top="0.75" bottom="0.75" header="0.3" footer="0.3"/>
  <tableParts count="1">
    <tablePart xmlns:r="http://schemas.openxmlformats.org/officeDocument/2006/relationships" r:id="R6ee252b924fd4909"/>
  </tableParts>
</worksheet>
</file>

<file path=xl/worksheets/sheet5.xml><?xml version="1.0" encoding="utf-8"?>
<worksheet xmlns="http://schemas.openxmlformats.org/spreadsheetml/2006/main">
  <sheetPr>
    <tabColor rgb="FF8A929B"/>
  </sheetPr>
  <sheetViews>
    <sheetView showGridLines="0" workbookViewId="0"/>
  </sheetViews>
  <sheetFormatPr defaultRowHeight="15"/>
  <cols>
    <col min="1" max="1" width="7" hidden="0" customWidth="1"/>
    <col min="2" max="2" width="35" hidden="0" customWidth="1"/>
    <col min="3" max="3" width="106" hidden="0" customWidth="1"/>
  </cols>
  <sheetData>
    <row r="1" ht="24" customHeight="1">
      <c r="A1" s="2"/>
      <c r="B1" s="2"/>
      <c r="C1" s="2"/>
    </row>
    <row r="2" ht="32" customHeight="1">
      <c r="A2" s="4" t="str">
        <v>Kullanım ve Yeni Dönem Ekleme</v>
      </c>
      <c r="B2" s="5"/>
      <c r="C2" s="5"/>
    </row>
    <row r="3" ht="24" customHeight="1">
      <c r="A3" s="2"/>
      <c r="B3" s="2"/>
      <c r="C3" s="2"/>
    </row>
    <row r="4" ht="28" customHeight="1">
      <c r="A4" s="2"/>
      <c r="B4" s="11" t="str">
        <v>1. Hesap mantığı</v>
      </c>
      <c r="C4" s="11"/>
    </row>
    <row r="5" ht="38" customHeight="1">
      <c r="A5" s="2"/>
      <c r="B5" s="42" t="str">
        <v>Dosyadaki başlangıç verisi</v>
      </c>
      <c r="C5" s="42"/>
    </row>
    <row r="6" ht="38" customHeight="1">
      <c r="A6" s="2"/>
      <c r="B6" s="42" t="str">
        <v>Proje bilgileri</v>
      </c>
      <c r="C6" s="42" t="str">
        <v>Özet!B4: Proje Adı; B5: Taşeron Firma; B6: Sözleşme Tarihi; B7: Şantiye Bilgileri. Kaynakta bulunmadıkları için bu alanlar boş bırakılmıştır.</v>
      </c>
    </row>
    <row r="7" ht="38" customHeight="1">
      <c r="A7" s="2"/>
      <c r="B7" s="42" t="str">
        <v>Kümülatif metraj</v>
      </c>
      <c r="C7" s="42" t="str">
        <v>Hakediş!E sütunu güncel ve onaylı toplam fiziksel imalattır. Önceki dönemlerin ödeme miktarlarının toplamı olmak zorunda değildir. Toplam Metraj, aynı kalemin sözleşme metrajıdır.</v>
      </c>
    </row>
    <row r="8" ht="38" customHeight="1">
      <c r="A8" s="2"/>
      <c r="B8" s="42" t="str">
        <v>Verilecek miktar</v>
      </c>
      <c r="C8" s="42" t="str">
        <v>Her döneme yalnız o dönemde ödeme yapılacak ilave miktarı yazın. Örnek: onaylı kümülatif 910 ve önceki ödeme 700 ise kalan 210 olur. İkinci döneme 910 yazılmaz.</v>
      </c>
    </row>
    <row r="9" ht="38" customHeight="1">
      <c r="A9" s="2"/>
      <c r="B9" s="42" t="str">
        <v>Dönem fiyatları ve geçmiş</v>
      </c>
      <c r="C9" s="42" t="str">
        <v>Her dönemin fiyatı ve miktarı bağımsız giriş alanıdır. Eski fiyatları güncel fiyata bağlamayın. Kümülatif metrajı değiştirmek önceki dönem tutarlarını değiştirmez.</v>
      </c>
    </row>
    <row r="10" ht="38" customHeight="1">
      <c r="A10" s="2"/>
      <c r="B10" s="42" t="str">
        <v>Brüt ve teminat</v>
      </c>
      <c r="C10" s="42" t="str">
        <v>Brüt = İmalat + Tutanak. Teminat = Brüt × %10. Net = Brüt − Kesintiler − Teminat. Kesintiler brüt hesaplanırken düşülmez. Teminat oranı Özet!B13:D13 alanındadır.</v>
      </c>
    </row>
    <row r="11" ht="38" customHeight="1">
      <c r="A11" s="2"/>
      <c r="B11" s="42" t="str">
        <v>Tutarların kapsamı</v>
      </c>
      <c r="C11" s="42" t="str">
        <v>Tüm tutarlar TL, satır tutarları iki ondalığa yuvarlanır. KDV, stopaj, tevkifat, ödeme tarihi ve teminat iadesi bu istenen net ödeme formülüne ayrıca eklenmemiştir.</v>
      </c>
    </row>
    <row r="12" ht="38" customHeight="1">
      <c r="A12" s="2"/>
      <c r="B12" s="42" t="str">
        <v>Boş ve sıfır ayrımı</v>
      </c>
      <c r="C12" s="42" t="str">
        <v>Bir dönem için hem fiyat hem miktar boşsa hakediş girişi yoktur. Yalnız biri doluysa “Eksik giriş” görünür. Bilinçli sıfır girişi gerçek sıfır olarak hesaplanır.</v>
      </c>
    </row>
    <row r="13" ht="38" customHeight="1">
      <c r="A13" s="2"/>
      <c r="B13" s="42" t="str">
        <v>Kontrol sütunları</v>
      </c>
      <c r="C13" s="42" t="str">
        <v>Toplam Verilen tüm dönem miktarlarını toplar. Verilebilir Bakiye = Kümülatif − Toplam Verilen. Kontrol alanı eksik bilgi, negatif giriş ve metraj aşımını işaretler. Uyarılar veri girişini otomatik düzeltmez.</v>
      </c>
    </row>
    <row r="14" ht="28" customHeight="1">
      <c r="A14" s="2"/>
      <c r="B14" s="11" t="str">
        <v>2. Sayfa ve hücre yerleşimi</v>
      </c>
      <c r="C14" s="11"/>
    </row>
    <row r="15" ht="38" customHeight="1">
      <c r="A15" s="2"/>
      <c r="B15" s="42" t="str">
        <v>Özet</v>
      </c>
      <c r="C15" s="42" t="str">
        <v>B10:D10 dönem numaraları; B11:D12 başlangıç/bitiş tarihleri; B13:D13 teminat oranları. Satırlar 15 imalat, 16 tutanak, 17 brüt, 18 kesinti, 19 teminat, 20 net. F sütunu tüm dönemleri toplar.</v>
      </c>
    </row>
    <row r="16" ht="38" customHeight="1">
      <c r="A16" s="2"/>
      <c r="B16" s="42" t="str">
        <v>Hakediş</v>
      </c>
      <c r="C16" s="42" t="str">
        <v>Başlık satırı 7, ilk veri satırı 8. A:F temel bilgiler; G:I 1. dönem; J:L 2. dönem; M:O 3. dönem. P “Dönem sonu”; Q:S kontrol alanlarıdır. I4/L4/O4 dönem anahtarlarıdır. H4/K4/N4 miktar sütunlarını işaretler.</v>
      </c>
    </row>
    <row r="17" ht="38" customHeight="1">
      <c r="A17" s="2"/>
      <c r="B17" s="42" t="str">
        <v>Tutanak ve Kesintiler</v>
      </c>
      <c r="C17" s="42" t="str">
        <v>Başlık satırı 7, ilk veri satırı 8. A:H istenen 8 sütundur. I sütunu kayıt kontrolüdür. Dönem alanına metin yerine 1, 2, 3 gibi sayısal numara girin.</v>
      </c>
    </row>
    <row r="18" ht="38" customHeight="1">
      <c r="A18" s="2"/>
      <c r="B18" s="42" t="str">
        <v>Yeni kayıt satırı</v>
      </c>
      <c r="C18" s="42" t="str">
        <v>Üç tabloda 100 giriş satırı hazırdır. Daha fazlası için tablonun son satırındaki son hücrede Tab tuşuna basın veya Tablo Satırı Ekle kullanın. Formüller otomatik oluşmazsa önceki satırdaki gri formül hücrelerini yeni satıra kopyalayın. Doğrulamaları da kontrol edin.</v>
      </c>
    </row>
    <row r="19" ht="28" customHeight="1">
      <c r="A19" s="2"/>
      <c r="B19" s="11" t="str">
        <v>3. Dördüncü hakedişi ekleme</v>
      </c>
      <c r="C19" s="11"/>
    </row>
    <row r="20" ht="48" customHeight="1">
      <c r="A20" s="2"/>
      <c r="B20" s="42" t="str">
        <v>1 — Hakediş alanını açın</v>
      </c>
      <c r="C20" s="42" t="str">
        <v>Hakediş sayfasında P sütunu “Dönem sonu”dur. P sütununun soluna üç TAM SAYFA sütunu ekleyin. Eski P sütunu S olur; kontroller T:V sütunlarına kayar. “Dönem sonu” sütununu silmeyin.</v>
      </c>
    </row>
    <row r="21" ht="38" customHeight="1">
      <c r="A21" s="2"/>
      <c r="B21" s="42" t="str">
        <v>2 — Son grubu kopyalayın</v>
      </c>
      <c r="C21" s="42" t="str">
        <v>M4:O107 aralığını kopyalayıp P4:R107 aralığına yapıştırın. Tablo daha uzunsa 107 yerine mevcut son veri satırını kullanın. Sütun genişliklerini de kopyalayın. Kes/Yapıştır kullanmayın.</v>
      </c>
    </row>
    <row r="22" ht="38" customHeight="1">
      <c r="A22" s="2"/>
      <c r="B22" s="42" t="str">
        <v>3 — Yeni başlıkları yazın</v>
      </c>
      <c r="C22" s="42" t="str">
        <v>R4 hücresine 4 yazın. P7 “Birim Fiyat 4”, Q7 “Verilecek Miktar 4”, R7 “Tutar 4” olsun. Başlıklar benzersiz olmalıdır; Excel’in eklediği otomatik numaraları kontrol edin.</v>
      </c>
    </row>
    <row r="23" ht="38" customHeight="1">
      <c r="A23" s="2"/>
      <c r="B23" s="42" t="str">
        <v>4 — Eski girişleri temizleyin</v>
      </c>
      <c r="C23" s="42" t="str">
        <v>Yalnız P8:Q107 içeriğini Delete ile temizleyin; ardından yeni dönemin fiyat ve miktarlarını girin. R sütunundaki tutar formüllerini, grup başlığını ve toplam formülünü silmeyin.</v>
      </c>
    </row>
    <row r="24" ht="52" customHeight="1">
      <c r="A24" s="2"/>
      <c r="B24" s="42" t="str">
        <v>5 — Tutarı ve toplamı bağlayın</v>
      </c>
      <c r="C24" s="42" t="str">
        <v>R8 = EĞER(VE(P8="";Q8="");"";EĞER(BAĞ_DEĞ_SAY(P8:Q8)&lt;2;"Eksik giriş";YUVARLA(P8*Q8;2))). Aşağı doldurun. R6 formülündeki [Tutar 3] başvurularını [Tutar 4] olarak değiştirin.</v>
      </c>
    </row>
    <row r="25" ht="38" customHeight="1">
      <c r="A25" s="2"/>
      <c r="B25" s="42" t="str">
        <v>6 — Tabloyu kontrol edin</v>
      </c>
      <c r="C25" s="42" t="str">
        <v>Tablo Tasarımı &gt; Tabloyu Yeniden Boyutlandır alanında tblHakedis yeni P:R dönemini, S sınırını ve T:V kontrol sütunlarını kapsamalıdır. Tam sütun ekleme aralıkları genişletir; bu kontrolü atlamayın.</v>
      </c>
    </row>
    <row r="26" ht="38" customHeight="1">
      <c r="A26" s="2"/>
      <c r="B26" s="42" t="str">
        <v>7 — Özet sütununu ekleyin</v>
      </c>
      <c r="C26" s="42" t="str">
        <v>Özet sayfasında E “Dönem sonu” sütununun soluna bir TAM SAYFA sütunu ekleyin. Eski E, F olur; Genel Toplam G olur. D10:D20 aralığını Ctrl+C / Ctrl+V ile E10:E20 alanına kopyalayın.</v>
      </c>
    </row>
    <row r="27" ht="38" customHeight="1">
      <c r="A27" s="2"/>
      <c r="B27" s="42" t="str">
        <v>8 — Dönemi tanımlayın</v>
      </c>
      <c r="C27" s="42" t="str">
        <v>E10 hücresine 4 yazın; E11:E12 eski tarihlerini temizleyip yeni tarihleri girin. E13 %10 kalır. Kopyalanan formüller E10 dönem anahtarını kullanır; diğer dönemleri değiştirmeyin.</v>
      </c>
    </row>
    <row r="28" ht="38" customHeight="1">
      <c r="A28" s="2"/>
      <c r="B28" s="42" t="str">
        <v>9 — Ek kayıtları girin</v>
      </c>
      <c r="C28" s="42" t="str">
        <v>Tutanak ve Ekler ile Kesintiler sayfalarında yeni satırlara Hakediş Dönemi = 4 yazın. Özet E16 ve E18 kayıtları otomatik toplar. Dönem numarası benzersiz ve her sayfada aynı olmalıdır.</v>
      </c>
    </row>
    <row r="29" ht="38" customHeight="1">
      <c r="A29" s="2"/>
      <c r="B29" s="42" t="str">
        <v>10 — Son kontrol</v>
      </c>
      <c r="C29" s="42" t="str">
        <v>Özet toplamlarını, Hakediş T:V kontrollerini ve örnek bir satırı kontrol edin. Toplam Verilen formülünün yeni Q miktarını kapsadığını doğrulayın. Önceki 1/2/3 dönem tutarları aynı kalmalıdır.</v>
      </c>
    </row>
    <row r="30" ht="38" customHeight="1">
      <c r="A30" s="2"/>
      <c r="B30" s="42" t="str">
        <v>Sonraki dönemler</v>
      </c>
      <c r="C30" s="42" t="str">
        <v>Aynı işlemi son 3 sütunluk dönem grubu ve güncel “Dönem sonu” sınırlarıyla tekrarlayın. Yeni sütunları her zaman bu sınırların SOLUNA ekleyin; en sağa rastgele yapıştırmayın.</v>
      </c>
    </row>
    <row r="31" ht="28" customHeight="1">
      <c r="A31" s="2"/>
      <c r="B31" s="11" t="str">
        <v>4. Formüller ve kaynaklar</v>
      </c>
      <c r="C31" s="11"/>
    </row>
    <row r="32" ht="46" customHeight="1">
      <c r="A32" s="2"/>
      <c r="B32" s="42" t="str">
        <v>Tutar — ilk dönem</v>
      </c>
      <c r="C32" s="42" t="str">
        <v>=EĞER(VE(G8="";H8="");"";EĞER(BAĞ_DEĞ_SAY(G8:H8)&lt;2;"Eksik giriş";YUVARLA(G8*H8;2)))</v>
      </c>
    </row>
    <row r="33" ht="38" customHeight="1">
      <c r="A33" s="2"/>
      <c r="B33" s="42" t="str">
        <v>Tutanak — dönem toplamı</v>
      </c>
      <c r="C33" s="42" t="str">
        <v>=ÇOKETOPLA(tblTutanak[Tutar];tblTutanak[Hakediş Dönemi];B$10)</v>
      </c>
    </row>
    <row r="34" ht="38" customHeight="1">
      <c r="A34" s="2"/>
      <c r="B34" s="42" t="str">
        <v>Kesinti — dönem toplamı</v>
      </c>
      <c r="C34" s="42" t="str">
        <v>=ÇOKETOPLA(tblKesinti[Tutar];tblKesinti[Hakediş Dönemi];B$10)</v>
      </c>
    </row>
    <row r="35" ht="38" customHeight="1">
      <c r="A35" s="2"/>
      <c r="B35" s="42" t="str">
        <v>Dinamik imalat bağlantısı</v>
      </c>
      <c r="C35" s="42" t="str">
        <v>=İNDİS('Hakediş'!$G$6:$P$6;1;KAÇINCI(B$10;'Hakediş'!$G$4:$P$4;0))</v>
      </c>
    </row>
    <row r="36" ht="38" customHeight="1">
      <c r="A36" s="2"/>
      <c r="B36" s="42" t="str">
        <v>Toplam verilen miktar</v>
      </c>
      <c r="C36" s="42" t="str">
        <v>=ÇOKETOPLA($G8:$P8;$G$4:$P$4;"Miktar")</v>
      </c>
    </row>
    <row r="37" ht="38" customHeight="1">
      <c r="A37" s="2"/>
      <c r="B37" s="42" t="str">
        <v>Kopyalama ayrıntısı</v>
      </c>
      <c r="C37" s="42" t="str">
        <v>Özet formüllerini Ctrl+C / Ctrl+V ile kopyalayın. Yatay doldurma tutamacı tablo sütun başvurularını kaydırabilir. “Dönem sonu” uç hücreleri yeni sütun eklendiğinde aralıkların genişlemesini sağlar.</v>
      </c>
    </row>
    <row r="38" ht="38" customHeight="1">
      <c r="A38" s="2"/>
      <c r="B38" s="42" t="str">
        <v>Dönem kapatma</v>
      </c>
      <c r="C38" s="42" t="str">
        <v>Onaylanan dönemi değiştirmeyin. Bir yedek dosya alın. İsterseniz Excel’de yalnız açık dönem girişlerini kilitsiz bırakıp Gözden Geçir &gt; Sayfayı Koru kullanın. Bu dosyada parola veya otomatik dönem kilidi yoktur.</v>
      </c>
    </row>
    <row r="39" ht="38" customHeight="1">
      <c r="A39" s="2"/>
      <c r="B39" s="42" t="str">
        <v>Kaynak ve düzeltme</v>
      </c>
      <c r="C39" s="42"/>
    </row>
    <row r="40" ht="38" customHeight="1">
      <c r="A40" s="2"/>
      <c r="B40" s="42" t="str">
        <v>Excel başvuruları</v>
      </c>
      <c r="C40" s="42" t="str">
        <v>https://support.microsoft.com/tr-tr/excel/using-structured-references-with-excel-tables</v>
      </c>
    </row>
    <row r="41" ht="38" customHeight="1">
      <c r="A41" s="2"/>
      <c r="B41" s="42" t="str">
        <v>Excel ÇOKETOPLA</v>
      </c>
      <c r="C41" s="42" t="str">
        <v>https://support.microsoft.com/tr-tr/excel/functions/sumifs-function</v>
      </c>
    </row>
    <row r="42" ht="38" customHeight="1">
      <c r="A42" s="2"/>
      <c r="B42" s="42" t="str">
        <v>Dil ve hesaplama</v>
      </c>
      <c r="C42" s="42" t="str">
        <v>Dosya formülleri Excel’in standart İngilizce iç biçiminde saklanır. Türkçe Excel formülleri yerel adlarıyla gösterir. Formüller &gt; Hesaplama Seçenekleri &gt; Otomatik seçili olsun.</v>
      </c>
    </row>
    <row r="43" ht="24" customHeight="1">
      <c r="A43" s="2"/>
      <c r="B43" s="2"/>
      <c r="C43" s="2"/>
    </row>
    <row r="44" ht="24" customHeight="1">
      <c r="A44" s="2"/>
      <c r="B44" s="2"/>
      <c r="C44" s="2"/>
    </row>
    <row r="45" ht="24" customHeight="1">
      <c r="A45" s="2"/>
      <c r="B45" s="2"/>
      <c r="C45" s="2"/>
    </row>
    <row r="46" ht="24" customHeight="1">
      <c r="A46" s="2"/>
      <c r="B46" s="2"/>
      <c r="C46" s="2"/>
    </row>
    <row r="47" ht="24" customHeight="1">
      <c r="A47" s="2"/>
      <c r="B47" s="2"/>
      <c r="C47" s="2"/>
    </row>
    <row r="48" ht="24" customHeight="1">
      <c r="A48" s="2"/>
      <c r="B48" s="2"/>
      <c r="C48" s="2"/>
    </row>
    <row r="49" ht="24" customHeight="1">
      <c r="A49" s="2"/>
      <c r="B49" s="2"/>
      <c r="C49" s="2"/>
    </row>
    <row r="50" ht="24" customHeight="1">
      <c r="A50" s="2"/>
      <c r="B50" s="2"/>
      <c r="C50" s="2"/>
    </row>
    <row r="51" ht="24" customHeight="1">
      <c r="A51" s="2"/>
      <c r="B51" s="2"/>
      <c r="C51" s="2"/>
    </row>
    <row r="52" ht="24" customHeight="1">
      <c r="A52" s="2"/>
      <c r="B52" s="2"/>
      <c r="C52" s="2"/>
    </row>
    <row r="53" ht="24" customHeight="1">
      <c r="A53" s="2"/>
      <c r="B53" s="2"/>
      <c r="C53" s="2"/>
    </row>
    <row r="54" ht="24" customHeight="1">
      <c r="A54" s="2"/>
      <c r="B54" s="2"/>
      <c r="C54" s="2"/>
    </row>
    <row r="55" ht="24" customHeight="1">
      <c r="A55" s="2"/>
      <c r="B55" s="2"/>
      <c r="C55" s="2"/>
    </row>
    <row r="56" ht="24" customHeight="1">
      <c r="A56" s="2"/>
      <c r="B56" s="2"/>
      <c r="C56" s="2"/>
    </row>
    <row r="57" ht="24" customHeight="1">
      <c r="A57" s="2"/>
      <c r="B57" s="2"/>
      <c r="C57" s="2"/>
    </row>
    <row r="58" ht="24" customHeight="1">
      <c r="A58" s="2"/>
      <c r="B58" s="2"/>
      <c r="C58" s="2"/>
    </row>
    <row r="59" ht="24" customHeight="1">
      <c r="A59" s="2"/>
      <c r="B59" s="2"/>
      <c r="C59" s="2"/>
    </row>
    <row r="60" ht="24" customHeight="1">
      <c r="A60" s="2"/>
      <c r="B60" s="2"/>
      <c r="C60" s="2"/>
    </row>
    <row r="61" ht="24" customHeight="1">
      <c r="A61" s="2"/>
      <c r="B61" s="2"/>
      <c r="C61" s="2"/>
    </row>
    <row r="62" ht="24" customHeight="1">
      <c r="A62" s="2"/>
      <c r="B62" s="2"/>
      <c r="C62" s="2"/>
    </row>
    <row r="63" ht="24" customHeight="1">
      <c r="A63" s="2"/>
      <c r="B63" s="2"/>
      <c r="C63" s="2"/>
    </row>
    <row r="64" ht="24" customHeight="1">
      <c r="A64" s="2"/>
      <c r="B64" s="2"/>
      <c r="C64" s="2"/>
    </row>
    <row r="65" ht="24" customHeight="1">
      <c r="A65" s="2"/>
      <c r="B65" s="2"/>
      <c r="C65" s="2"/>
    </row>
  </sheetData>
  <pageMargins left="0.7" right="0.7" top="0.75" bottom="0.75" header="0.3" footer="0.3"/>
</worksheet>
</file>