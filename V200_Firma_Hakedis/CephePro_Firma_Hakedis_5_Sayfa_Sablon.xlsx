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Hakediş İcmali (Kapak)" sheetId="1" r:id="rId1"/>
    <sheet name="Sözleşme Metrajı" sheetId="2" r:id="rId2"/>
    <sheet name="Hakediş Cetveli" sheetId="3" r:id="rId3"/>
    <sheet name="Saha Tutanakları" sheetId="4" r:id="rId4"/>
    <sheet name="Kesintiler ve Cezalar" sheetId="5" r:id="rId5"/>
  </sheets>
  <definedNames>
    <definedName name="_xlnm.Print_Titles" localSheetId="0">'Hakediş İcmali (Kapak)'!$1:$2</definedName>
    <definedName name="_xlnm.Print_Titles" localSheetId="1">'Sözleşme Metrajı'!$1:$4</definedName>
    <definedName name="_xlnm.Print_Titles" localSheetId="2">'Hakediş Cetveli'!$1:$4</definedName>
    <definedName name="_xlnm.Print_Titles" localSheetId="3">'Saha Tutanakları'!$1:$4</definedName>
    <definedName name="_xlnm.Print_Titles" localSheetId="4">'Kesintiler ve Cezalar'!$1:$4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&quot;₺&quot;#,##0.00"/>
    <numFmt numFmtId="165" formatCode="0.0%"/>
    <numFmt numFmtId="166" formatCode="#,##0.00"/>
  </numFmts>
  <fonts count="6">
    <font>
      <sz val="11"/>
      <color rgb="FF1B365D"/>
      <name val="Calibri"/>
      <family val="2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9"/>
      <color rgb="FF1B365D"/>
      <name val="Calibri"/>
      <family val="2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  <fill>
      <patternFill patternType="solid">
        <fgColor rgb="FF2C4D75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rgb="FFD8E0E8"/>
      </left>
      <right style="thin">
        <color rgb="FFD8E0E8"/>
      </right>
      <top style="thin">
        <color rgb="FFD8E0E8"/>
      </top>
      <bottom style="thin">
        <color rgb="FFD8E0E8"/>
      </bottom>
      <diagonal/>
    </border>
  </borders>
  <cellStyleXfs count="1">
    <xf numFmtId="0" fontId="0" fillId="0" borderId="0"/>
  </cellStyleXfs>
  <cellXfs count="26">
    <xf numFmtId="0" fontId="0" fillId="0" borderId="0" xfId="0" applyNumberFormat="1" applyFont="1" applyFill="1" applyBorder="1" applyAlignment="1">
      <alignment vertical="bottom" wrapText="0"/>
    </xf>
    <xf numFmtId="0" fontId="1" fillId="2" borderId="1" xfId="0" applyNumberFormat="1" applyFont="1" applyFill="1" applyBorder="1" applyAlignment="1">
      <alignment vertical="center" wrapText="1"/>
    </xf>
    <xf numFmtId="0" fontId="0" fillId="0" borderId="1" xfId="0" applyNumberFormat="1" applyFont="1" applyFill="1" applyBorder="1" applyAlignment="1">
      <alignment vertical="center" wrapText="1"/>
    </xf>
    <xf numFmtId="0" fontId="2" fillId="3" borderId="1" xfId="0" applyNumberFormat="1" applyFont="1" applyFill="1" applyBorder="1" applyAlignment="1">
      <alignment vertical="center" wrapText="1"/>
    </xf>
    <xf numFmtId="164" fontId="3" fillId="4" borderId="1" xfId="0" applyNumberFormat="1" applyFont="1" applyFill="1" applyBorder="1" applyAlignment="1">
      <alignment vertical="center" wrapText="1"/>
    </xf>
    <xf numFmtId="0" fontId="3" fillId="4" borderId="1" xfId="0" applyNumberFormat="1" applyFont="1" applyFill="1" applyBorder="1" applyAlignment="1">
      <alignment vertical="center" wrapText="1"/>
    </xf>
    <xf numFmtId="0" fontId="2" fillId="2" borderId="1" xfId="0" applyNumberFormat="1" applyFont="1" applyFill="1" applyBorder="1" applyAlignment="1">
      <alignment vertical="center" wrapText="1"/>
    </xf>
    <xf numFmtId="165" fontId="0" fillId="0" borderId="1" xfId="0" applyNumberFormat="1" applyFont="1" applyFill="1" applyBorder="1" applyAlignment="1">
      <alignment vertical="center" wrapText="1"/>
    </xf>
    <xf numFmtId="164" fontId="0" fillId="0" borderId="1" xfId="0" applyNumberFormat="1" applyFont="1" applyFill="1" applyBorder="1" applyAlignment="1">
      <alignment vertical="center" wrapText="1"/>
    </xf>
    <xf numFmtId="0" fontId="4" fillId="2" borderId="1" xfId="0" applyNumberFormat="1" applyFont="1" applyFill="1" applyBorder="1" applyAlignment="1">
      <alignment vertical="center" wrapText="1"/>
    </xf>
    <xf numFmtId="164" fontId="4" fillId="2" borderId="1" xfId="0" applyNumberFormat="1" applyFont="1" applyFill="1" applyBorder="1" applyAlignment="1">
      <alignment vertical="center" wrapText="1"/>
    </xf>
    <xf numFmtId="164" fontId="1" fillId="2" borderId="1" xfId="0" applyNumberFormat="1" applyFont="1" applyFill="1" applyBorder="1" applyAlignment="1">
      <alignment vertical="center" wrapText="1"/>
    </xf>
    <xf numFmtId="166" fontId="1" fillId="2" borderId="1" xfId="0" applyNumberFormat="1" applyFont="1" applyFill="1" applyBorder="1" applyAlignment="1">
      <alignment vertical="center" wrapText="1"/>
    </xf>
    <xf numFmtId="0" fontId="5" fillId="3" borderId="1" xfId="0" applyNumberFormat="1" applyFont="1" applyFill="1" applyBorder="1" applyAlignment="1">
      <alignment vertical="center" wrapText="1"/>
    </xf>
    <xf numFmtId="164" fontId="5" fillId="3" borderId="1" xfId="0" applyNumberFormat="1" applyFont="1" applyFill="1" applyBorder="1" applyAlignment="1">
      <alignment vertical="center" wrapText="1"/>
    </xf>
    <xf numFmtId="166" fontId="5" fillId="3" borderId="1" xfId="0" applyNumberFormat="1" applyFont="1" applyFill="1" applyBorder="1" applyAlignment="1">
      <alignment vertical="center" wrapText="1"/>
    </xf>
    <xf numFmtId="166" fontId="0" fillId="0" borderId="1" xfId="0" applyNumberFormat="1" applyFont="1" applyFill="1" applyBorder="1" applyAlignment="1">
      <alignment vertical="center" wrapText="1"/>
    </xf>
    <xf numFmtId="0" fontId="0" fillId="4" borderId="1" xfId="0" applyNumberFormat="1" applyFont="1" applyFill="1" applyBorder="1" applyAlignment="1">
      <alignment vertical="center" wrapText="1"/>
    </xf>
    <xf numFmtId="164" fontId="0" fillId="4" borderId="1" xfId="0" applyNumberFormat="1" applyFont="1" applyFill="1" applyBorder="1" applyAlignment="1">
      <alignment vertical="center" wrapText="1"/>
    </xf>
    <xf numFmtId="166" fontId="0" fillId="4" borderId="1" xfId="0" applyNumberFormat="1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vertical="center" wrapText="1"/>
    </xf>
    <xf numFmtId="166" fontId="2" fillId="2" borderId="1" xfId="0" applyNumberFormat="1" applyFont="1" applyFill="1" applyBorder="1" applyAlignment="1">
      <alignment vertical="center" wrapText="1"/>
    </xf>
    <xf numFmtId="165" fontId="1" fillId="2" borderId="1" xfId="0" applyNumberFormat="1" applyFont="1" applyFill="1" applyBorder="1" applyAlignment="1">
      <alignment vertical="center" wrapText="1"/>
    </xf>
    <xf numFmtId="165" fontId="5" fillId="3" borderId="1" xfId="0" applyNumberFormat="1" applyFont="1" applyFill="1" applyBorder="1" applyAlignment="1">
      <alignment vertical="center" wrapText="1"/>
    </xf>
    <xf numFmtId="165" fontId="0" fillId="4" borderId="1" xfId="0" applyNumberFormat="1" applyFont="1" applyFill="1" applyBorder="1" applyAlignment="1">
      <alignment vertical="center" wrapText="1"/>
    </xf>
    <xf numFmtId="165" fontId="2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8"/>
  <sheetViews>
    <sheetView workbookViewId="0" showGridLines="0">
      <pane xSplit="0" ySplit="8" topLeftCell="A9" activePane="bottomLeft" state="frozen"/>
    </sheetView>
  </sheetViews>
  <sheetFormatPr defaultRowHeight="22"/>
  <cols>
    <col min="1" max="1" width="10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</cols>
  <sheetData>
    <row r="1" ht="34" customHeight="1">
      <c r="A1" s="1" t="inlineStr">
        <is>
          <t xml:space="preserve">FİRMA HAKEDİŞ RAPORU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>
      <c r="A2" s="2" t="inlineStr">
        <is>
          <t xml:space="preserve">Sözleşme, dönem imalatı, saha tutanakları ve kesintiler</t>
        </is>
      </c>
    </row>
    <row r="4" ht="25" customHeight="1">
      <c r="A4" s="3" t="inlineStr">
        <is>
          <t xml:space="preserve">SÖZLEŞME BEDELİ</t>
        </is>
      </c>
      <c r="B4" s="3"/>
      <c r="C4" s="3"/>
      <c r="D4" s="3" t="inlineStr">
        <is>
          <t xml:space="preserve">BU DÖNEM İMALAT</t>
        </is>
      </c>
      <c r="E4" s="3"/>
      <c r="F4" s="3"/>
      <c r="G4" s="3" t="inlineStr">
        <is>
          <t xml:space="preserve">KESİNTİLER TOPLAMI</t>
        </is>
      </c>
      <c r="H4" s="3"/>
      <c r="I4" s="3"/>
      <c r="J4" s="3" t="inlineStr">
        <is>
          <t xml:space="preserve">ÖDENECEK GENEL TOPLAM</t>
        </is>
      </c>
      <c r="K4" s="3"/>
      <c r="L4" s="3"/>
    </row>
    <row r="5" ht="24" customHeight="1">
      <c r="A5" s="4" t="str">
        <f>IF(ISNUMBER(E22),E22,IF(ISNUMBER('Sözleşme Metrajı'!H26),'Sözleşme Metrajı'!H26,""))</f>
        <v/>
      </c>
      <c r="B5" s="5"/>
      <c r="C5" s="5"/>
      <c r="D5" s="4" t="str">
        <f>IF(ISNUMBER(J30),J30,"")</f>
        <v/>
      </c>
      <c r="E5" s="5"/>
      <c r="F5" s="5"/>
      <c r="G5" s="4" t="str">
        <f>IF(ISNUMBER(J34),J34,"")</f>
        <v/>
      </c>
      <c r="H5" s="5"/>
      <c r="I5" s="5"/>
      <c r="J5" s="4" t="str">
        <f>IF(ISNUMBER(J38),J38,"")</f>
        <v/>
      </c>
      <c r="K5" s="5"/>
      <c r="L5" s="5"/>
    </row>
    <row r="6" ht="24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9" ht="22" customHeight="1">
      <c r="A9" s="2" t="inlineStr">
        <is>
          <t xml:space="preserve">Proje adı</t>
        </is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ht="22" customHeight="1">
      <c r="A10" s="2" t="inlineStr">
        <is>
          <t xml:space="preserve">İşveren firma</t>
        </is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ht="22" customHeight="1">
      <c r="A11" s="2" t="inlineStr">
        <is>
          <t xml:space="preserve">Yüklenici / Taşeron</t>
        </is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ht="22" customHeight="1">
      <c r="A12" s="2" t="inlineStr">
        <is>
          <t xml:space="preserve">Sözleşme no</t>
        </is>
      </c>
      <c r="B12" s="2"/>
      <c r="C12" s="2"/>
      <c r="D12" s="2"/>
      <c r="E12" s="2"/>
      <c r="F12" s="2"/>
      <c r="H12" s="2" t="inlineStr">
        <is>
          <t xml:space="preserve">Hakediş no</t>
        </is>
      </c>
      <c r="I12" s="2"/>
      <c r="J12" s="2"/>
      <c r="K12" s="2"/>
      <c r="L12" s="2"/>
    </row>
    <row r="13" ht="22" customHeight="1">
      <c r="A13" s="2" t="inlineStr">
        <is>
          <t xml:space="preserve">Hakediş tarihi</t>
        </is>
      </c>
      <c r="B13" s="2"/>
      <c r="C13" s="2"/>
      <c r="D13" s="2"/>
      <c r="E13" s="2"/>
      <c r="F13" s="2"/>
    </row>
    <row r="14" ht="22" customHeight="1">
      <c r="A14" s="2" t="inlineStr">
        <is>
          <t xml:space="preserve">Dönem başlangıcı</t>
        </is>
      </c>
      <c r="B14" s="2"/>
      <c r="C14" s="2"/>
      <c r="D14" s="2"/>
      <c r="E14" s="2"/>
      <c r="F14" s="2"/>
      <c r="H14" s="2" t="inlineStr">
        <is>
          <t xml:space="preserve">Dönem bitişi</t>
        </is>
      </c>
      <c r="I14" s="2"/>
      <c r="J14" s="2"/>
      <c r="K14" s="2"/>
      <c r="L14" s="2"/>
    </row>
    <row r="15" ht="22" customHeight="1">
      <c r="A15" s="2" t="inlineStr">
        <is>
          <t xml:space="preserve">Sözleşme başlangıcı</t>
        </is>
      </c>
      <c r="B15" s="2"/>
      <c r="C15" s="2"/>
      <c r="D15" s="2"/>
      <c r="E15" s="2"/>
      <c r="F15" s="2"/>
      <c r="H15" s="2" t="inlineStr">
        <is>
          <t xml:space="preserve">Sözleşme bitişi</t>
        </is>
      </c>
      <c r="I15" s="2"/>
      <c r="J15" s="2"/>
      <c r="K15" s="2"/>
      <c r="L15" s="2"/>
    </row>
    <row r="16" ht="22" customHeight="1">
      <c r="A16" s="2" t="inlineStr">
        <is>
          <t xml:space="preserve">Vergi dairesi / no</t>
        </is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ht="34" customHeight="1">
      <c r="A17" s="2" t="inlineStr">
        <is>
          <t xml:space="preserve">Adres / Şantiye</t>
        </is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ht="22" customHeight="1">
      <c r="A18" s="2" t="inlineStr">
        <is>
          <t xml:space="preserve">Sözleşme türü</t>
        </is>
      </c>
      <c r="B18" s="2"/>
      <c r="C18" s="2"/>
      <c r="D18" s="2"/>
      <c r="E18" s="2"/>
      <c r="F18" s="2"/>
    </row>
    <row r="20" ht="25" customHeight="1">
      <c r="A20" s="6" t="inlineStr">
        <is>
          <t xml:space="preserve">HESAP PARAMETRELERİ</t>
        </is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ht="22" customHeight="1">
      <c r="A21" s="2" t="inlineStr">
        <is>
          <t xml:space="preserve">KDV oranı</t>
        </is>
      </c>
      <c r="B21" s="2"/>
      <c r="C21" s="2"/>
      <c r="D21" s="2"/>
      <c r="E21" s="7">
        <v>0.2</v>
      </c>
      <c r="F21" s="2"/>
      <c r="G21" s="2" t="inlineStr">
        <is>
          <t xml:space="preserve">Teminat oranı</t>
        </is>
      </c>
      <c r="H21" s="2"/>
      <c r="I21" s="2"/>
      <c r="J21" s="2"/>
      <c r="K21" s="2"/>
      <c r="L21" s="7">
        <v>0.05</v>
      </c>
    </row>
    <row r="22" ht="22" customHeight="1">
      <c r="A22" s="2" t="inlineStr">
        <is>
          <t xml:space="preserve">Sözleşme bedeli (varsa)</t>
        </is>
      </c>
      <c r="B22" s="2"/>
      <c r="C22" s="2"/>
      <c r="D22" s="2"/>
      <c r="E22" s="8"/>
      <c r="F22" s="2"/>
      <c r="G22" s="2" t="inlineStr">
        <is>
          <t xml:space="preserve">Avans mahsubu</t>
        </is>
      </c>
      <c r="H22" s="2"/>
      <c r="I22" s="2"/>
      <c r="J22" s="2"/>
      <c r="K22" s="2"/>
      <c r="L22" s="8"/>
    </row>
    <row r="23" ht="22" customHeight="1">
      <c r="A23" s="2" t="inlineStr">
        <is>
          <t xml:space="preserve">KDV matrahı (isteğe bağlı)</t>
        </is>
      </c>
      <c r="B23" s="2"/>
      <c r="C23" s="2"/>
      <c r="D23" s="2"/>
      <c r="E23" s="8"/>
      <c r="F23" s="2"/>
      <c r="G23" s="2" t="inlineStr">
        <is>
          <t xml:space="preserve">Teminat matrahı (isteğe bağlı)</t>
        </is>
      </c>
      <c r="H23" s="2"/>
      <c r="I23" s="2"/>
      <c r="J23" s="2"/>
      <c r="K23" s="2"/>
      <c r="L23" s="8"/>
    </row>
    <row r="24" ht="22" customHeight="1">
      <c r="A24" s="2" t="inlineStr">
        <is>
          <t xml:space="preserve">Stopaj oranı (varsa)</t>
        </is>
      </c>
      <c r="B24" s="2"/>
      <c r="C24" s="2"/>
      <c r="D24" s="2"/>
      <c r="E24" s="7"/>
      <c r="F24" s="2"/>
      <c r="G24" s="2" t="inlineStr">
        <is>
          <t xml:space="preserve">KDV tevkifatı (varsa)</t>
        </is>
      </c>
      <c r="H24" s="2"/>
      <c r="I24" s="2"/>
      <c r="J24" s="2"/>
      <c r="K24" s="2"/>
      <c r="L24" s="7"/>
    </row>
    <row r="25" ht="22" customHeight="1">
      <c r="A25" s="2" t="inlineStr">
        <is>
          <t xml:space="preserve">Stopaj matrahı (isteğe bağlı)</t>
        </is>
      </c>
      <c r="B25" s="2"/>
      <c r="C25" s="2"/>
      <c r="D25" s="2"/>
      <c r="E25" s="8"/>
      <c r="F25" s="2"/>
      <c r="G25" s="2" t="inlineStr">
        <is>
          <t xml:space="preserve">Fiyat farkı (varsa)</t>
        </is>
      </c>
      <c r="H25" s="2"/>
      <c r="I25" s="2"/>
      <c r="J25" s="2"/>
      <c r="K25" s="2"/>
      <c r="L25" s="8"/>
    </row>
    <row r="28" ht="25" customHeight="1">
      <c r="A28" s="6" t="inlineStr">
        <is>
          <t xml:space="preserve">HAKEDİŞ HESAP CETVELİ</t>
        </is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30" ht="22" customHeight="1">
      <c r="A30" s="2" t="inlineStr">
        <is>
          <t xml:space="preserve">1. Sözleşme İmalatları</t>
        </is>
      </c>
      <c r="B30" s="2"/>
      <c r="C30" s="2"/>
      <c r="D30" s="2"/>
      <c r="E30" s="2"/>
      <c r="F30" s="2"/>
      <c r="G30" s="2"/>
      <c r="H30" s="2"/>
      <c r="I30" s="2"/>
      <c r="J30" s="8" t="str">
        <f>IF(ISNUMBER('Hakediş Cetveli'!J26),'Hakediş Cetveli'!J26,"")</f>
        <v/>
      </c>
      <c r="K30" s="2"/>
      <c r="L30" s="2"/>
    </row>
    <row r="31" ht="22" customHeight="1">
      <c r="A31" s="2" t="inlineStr">
        <is>
          <t xml:space="preserve">2. Saha Tutanakları</t>
        </is>
      </c>
      <c r="B31" s="2"/>
      <c r="C31" s="2"/>
      <c r="D31" s="2"/>
      <c r="E31" s="2"/>
      <c r="F31" s="2"/>
      <c r="G31" s="2"/>
      <c r="H31" s="2"/>
      <c r="I31" s="2"/>
      <c r="J31" s="8">
        <f>IF(ISNUMBER('Saha Tutanakları'!G16),'Saha Tutanakları'!G16,"")</f>
        <v>0</v>
      </c>
      <c r="K31" s="2"/>
      <c r="L31" s="2"/>
    </row>
    <row r="32" ht="22" customHeight="1">
      <c r="A32" s="2" t="inlineStr">
        <is>
          <t xml:space="preserve">3. Brüt Hakediş</t>
        </is>
      </c>
      <c r="B32" s="2"/>
      <c r="C32" s="2"/>
      <c r="D32" s="2"/>
      <c r="E32" s="2"/>
      <c r="F32" s="2"/>
      <c r="G32" s="2"/>
      <c r="H32" s="2"/>
      <c r="I32" s="2"/>
      <c r="J32" s="8" t="str">
        <f>IF(COUNT(J30:J31)=2,SUM(J30:J31),"")</f>
        <v/>
      </c>
      <c r="K32" s="2"/>
      <c r="L32" s="2"/>
    </row>
    <row r="34" ht="22" customHeight="1">
      <c r="A34" s="2" t="inlineStr">
        <is>
          <t xml:space="preserve">4. Kesintiler Toplamı</t>
        </is>
      </c>
      <c r="B34" s="2"/>
      <c r="C34" s="2"/>
      <c r="D34" s="2"/>
      <c r="E34" s="2"/>
      <c r="F34" s="2"/>
      <c r="G34" s="2"/>
      <c r="H34" s="2"/>
      <c r="I34" s="2"/>
      <c r="J34" s="8" t="str">
        <f>IF(ISNUMBER('Kesintiler ve Cezalar'!D13),'Kesintiler ve Cezalar'!D13,"")</f>
        <v/>
      </c>
      <c r="K34" s="2"/>
      <c r="L34" s="2"/>
    </row>
    <row r="35" ht="22" customHeight="1">
      <c r="A35" s="2" t="inlineStr">
        <is>
          <t xml:space="preserve">5. Net Hakediş (KDV Hariç)</t>
        </is>
      </c>
      <c r="B35" s="2"/>
      <c r="C35" s="2"/>
      <c r="D35" s="2"/>
      <c r="E35" s="2"/>
      <c r="F35" s="2"/>
      <c r="G35" s="2"/>
      <c r="H35" s="2"/>
      <c r="I35" s="2"/>
      <c r="J35" s="8" t="str">
        <f>IF(COUNT(J32,J34)=2,J32-J34,"")</f>
        <v/>
      </c>
      <c r="K35" s="2"/>
      <c r="L35" s="2"/>
    </row>
    <row r="36" ht="22" customHeight="1">
      <c r="A36" s="2" t="inlineStr">
        <is>
          <t xml:space="preserve">6. KDV</t>
        </is>
      </c>
      <c r="B36" s="2"/>
      <c r="C36" s="2"/>
      <c r="D36" s="2"/>
      <c r="E36" s="2"/>
      <c r="F36" s="2"/>
      <c r="G36" s="2"/>
      <c r="H36" s="2"/>
      <c r="I36" s="2"/>
      <c r="J36" s="8" t="str">
        <f>IF(AND(ISNUMBER(E21),ISNUMBER(IF(ISNUMBER(E23),E23,J32))),ROUND(IF(ISNUMBER(E23),E23,J32)*E21,2),"")</f>
        <v/>
      </c>
      <c r="K36" s="2"/>
      <c r="L36" s="2"/>
    </row>
    <row r="38" ht="32" customHeight="1">
      <c r="A38" s="9" t="inlineStr">
        <is>
          <t xml:space="preserve">7. ÖDENECEK GENEL TOPLAM</t>
        </is>
      </c>
      <c r="B38" s="9"/>
      <c r="C38" s="9"/>
      <c r="D38" s="9"/>
      <c r="E38" s="9"/>
      <c r="F38" s="9"/>
      <c r="G38" s="9"/>
      <c r="H38" s="9"/>
      <c r="I38" s="9"/>
      <c r="J38" s="10" t="str">
        <f>IF(COUNT(J35:J36)=2,SUM(J35:J36),"")</f>
        <v/>
      </c>
      <c r="K38" s="9"/>
      <c r="L38" s="9"/>
    </row>
    <row r="40" ht="25" customHeight="1">
      <c r="A40" s="6" t="inlineStr">
        <is>
          <t xml:space="preserve">KONTROL VE ONAY</t>
        </is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ht="22" customHeight="1">
      <c r="A41" s="2" t="inlineStr">
        <is>
          <t xml:space="preserve">Taslak: firma, dönem ve sözleşme bilgileri ile metraj onayı tamamlanmalıdır. KDV ve kesinti matrahları hesap parametrelerinden ayarlanır.</t>
        </is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ht="22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4" ht="25" customHeight="1">
      <c r="A44" s="3" t="inlineStr">
        <is>
          <t xml:space="preserve">Hazırlayan (Taşeron)</t>
        </is>
      </c>
      <c r="B44" s="3"/>
      <c r="C44" s="3"/>
      <c r="D44" s="3"/>
      <c r="E44" s="3" t="inlineStr">
        <is>
          <t xml:space="preserve">Kontrol Eden (Şantiye Şefi)</t>
        </is>
      </c>
      <c r="F44" s="3"/>
      <c r="G44" s="3"/>
      <c r="H44" s="3"/>
      <c r="I44" s="3" t="inlineStr">
        <is>
          <t xml:space="preserve">Onaylayan (İşveren)</t>
        </is>
      </c>
      <c r="J44" s="3"/>
      <c r="K44" s="3"/>
      <c r="L44" s="3"/>
    </row>
    <row r="45" ht="22" customHeight="1">
      <c r="A45" s="2" t="inlineStr">
        <is>
          <t xml:space="preserve">Ad Soyad / İmza / Kaşe / Tarih</t>
        </is>
      </c>
      <c r="B45" s="2"/>
      <c r="C45" s="2"/>
      <c r="D45" s="2"/>
      <c r="E45" s="2" t="inlineStr">
        <is>
          <t xml:space="preserve">Ad Soyad / İmza / Kaşe / Tarih</t>
        </is>
      </c>
      <c r="F45" s="2"/>
      <c r="G45" s="2"/>
      <c r="H45" s="2"/>
      <c r="I45" s="2" t="inlineStr">
        <is>
          <t xml:space="preserve">Ad Soyad / İmza / Kaşe / Tarih</t>
        </is>
      </c>
      <c r="J45" s="2"/>
      <c r="K45" s="2"/>
      <c r="L45" s="2"/>
    </row>
    <row r="46" ht="22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ht="22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ht="22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</sheetData>
  <mergeCells count="74">
    <mergeCell ref="A1:L1"/>
    <mergeCell ref="A4:C4"/>
    <mergeCell ref="A5:C6"/>
    <mergeCell ref="D4:F4"/>
    <mergeCell ref="D5:F6"/>
    <mergeCell ref="G4:I4"/>
    <mergeCell ref="G5:I6"/>
    <mergeCell ref="J4:L4"/>
    <mergeCell ref="J5:L6"/>
    <mergeCell ref="A9:B9"/>
    <mergeCell ref="C9:L9"/>
    <mergeCell ref="A10:B10"/>
    <mergeCell ref="C10:L10"/>
    <mergeCell ref="A11:B11"/>
    <mergeCell ref="C11:L11"/>
    <mergeCell ref="A12:B12"/>
    <mergeCell ref="C12:F12"/>
    <mergeCell ref="A13:B13"/>
    <mergeCell ref="C13:F13"/>
    <mergeCell ref="A14:B14"/>
    <mergeCell ref="C14:F14"/>
    <mergeCell ref="A15:B15"/>
    <mergeCell ref="C15:F15"/>
    <mergeCell ref="A16:B16"/>
    <mergeCell ref="C16:L16"/>
    <mergeCell ref="A17:B17"/>
    <mergeCell ref="C17:L17"/>
    <mergeCell ref="A18:B18"/>
    <mergeCell ref="C18:F18"/>
    <mergeCell ref="H12:I12"/>
    <mergeCell ref="J12:L12"/>
    <mergeCell ref="H14:I14"/>
    <mergeCell ref="J14:L14"/>
    <mergeCell ref="H15:I15"/>
    <mergeCell ref="J15:L15"/>
    <mergeCell ref="A20:L20"/>
    <mergeCell ref="A21:D21"/>
    <mergeCell ref="E21:F21"/>
    <mergeCell ref="G21:K21"/>
    <mergeCell ref="A22:D22"/>
    <mergeCell ref="E22:F22"/>
    <mergeCell ref="G22:K22"/>
    <mergeCell ref="A23:D23"/>
    <mergeCell ref="E23:F23"/>
    <mergeCell ref="G23:K23"/>
    <mergeCell ref="A24:D24"/>
    <mergeCell ref="E24:F24"/>
    <mergeCell ref="G24:K24"/>
    <mergeCell ref="A25:D25"/>
    <mergeCell ref="E25:F25"/>
    <mergeCell ref="G25:K25"/>
    <mergeCell ref="A28:L28"/>
    <mergeCell ref="A30:I30"/>
    <mergeCell ref="J30:L30"/>
    <mergeCell ref="A31:I31"/>
    <mergeCell ref="J31:L31"/>
    <mergeCell ref="A32:I32"/>
    <mergeCell ref="J32:L32"/>
    <mergeCell ref="A34:I34"/>
    <mergeCell ref="J34:L34"/>
    <mergeCell ref="A35:I35"/>
    <mergeCell ref="J35:L35"/>
    <mergeCell ref="A36:I36"/>
    <mergeCell ref="J36:L36"/>
    <mergeCell ref="A38:I38"/>
    <mergeCell ref="J38:L38"/>
    <mergeCell ref="A40:L40"/>
    <mergeCell ref="A41:L42"/>
    <mergeCell ref="A44:D44"/>
    <mergeCell ref="A45:D48"/>
    <mergeCell ref="E44:H44"/>
    <mergeCell ref="E45:H48"/>
    <mergeCell ref="I44:L44"/>
    <mergeCell ref="I45:L48"/>
  </mergeCells>
  <dataValidations count="4">
    <dataValidation type="decimal" operator="between" allowBlank="1" showErrorMessage="1" error="0% ile 100% arasında oran girin." sqref="E21">
      <formula1>0</formula1>
      <formula2>1</formula2>
    </dataValidation>
    <dataValidation type="decimal" operator="between" allowBlank="1" showErrorMessage="1" error="0% ile 100% arasında oran girin." sqref="L21">
      <formula1>0</formula1>
      <formula2>1</formula2>
    </dataValidation>
    <dataValidation type="decimal" operator="between" allowBlank="1" showErrorMessage="1" error="0% ile 100% arasında oran girin." sqref="E24">
      <formula1>0</formula1>
      <formula2>1</formula2>
    </dataValidation>
    <dataValidation type="decimal" operator="between" allowBlank="1" showErrorMessage="1" error="0% ile 100% arasında oran girin." sqref="L24">
      <formula1>0</formula1>
      <formula2>1</formula2>
    </dataValidation>
  </dataValidations>
  <pageMargins left="0.25" right="0.25" top="0.35" bottom="0.35" header="0.15" footer="0.15"/>
  <pageSetup paperSize="9" orientation="portrait" fitToWidth="1" fitToHeight="1"/>
  <headerFooter>
    <oddFooter>CephePro | Sayfa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6"/>
  <sheetViews>
    <sheetView workbookViewId="0" showGridLines="0">
      <pane xSplit="0" ySplit="4" topLeftCell="A5" activePane="bottomLeft" state="frozen"/>
    </sheetView>
  </sheetViews>
  <sheetFormatPr defaultRowHeight="22"/>
  <cols>
    <col min="1" max="1" width="24" customWidth="1"/>
    <col min="2" max="2" width="12" customWidth="1"/>
    <col min="3" max="3" width="12" customWidth="1"/>
    <col min="4" max="4" width="43" customWidth="1"/>
    <col min="5" max="5" width="12" customWidth="1"/>
    <col min="6" max="6" width="23" customWidth="1"/>
    <col min="7" max="7" width="18" customWidth="1"/>
    <col min="8" max="8" width="24" customWidth="1"/>
  </cols>
  <sheetData>
    <row r="1" ht="34" customHeight="1">
      <c r="A1" s="1" t="inlineStr">
        <is>
          <t xml:space="preserve">Sözleşme Metrajı</t>
        </is>
      </c>
      <c r="B1" s="1"/>
      <c r="C1" s="1"/>
      <c r="D1" s="1"/>
      <c r="E1" s="1"/>
      <c r="F1" s="11"/>
      <c r="G1" s="12"/>
      <c r="H1" s="11"/>
    </row>
    <row r="4" ht="38" customHeight="1">
      <c r="A4" s="13" t="inlineStr">
        <is>
          <t xml:space="preserve">Poz No</t>
        </is>
      </c>
      <c r="B4" s="13" t="inlineStr">
        <is>
          <t xml:space="preserve">Blok</t>
        </is>
      </c>
      <c r="C4" s="13" t="inlineStr">
        <is>
          <t xml:space="preserve">Cephe Kodu</t>
        </is>
      </c>
      <c r="D4" s="13" t="inlineStr">
        <is>
          <t xml:space="preserve">İş Kalemi Açıklaması</t>
        </is>
      </c>
      <c r="E4" s="13" t="inlineStr">
        <is>
          <t xml:space="preserve">Birim</t>
        </is>
      </c>
      <c r="F4" s="14" t="inlineStr">
        <is>
          <t xml:space="preserve">Sözleşme Birim Fiyatı</t>
        </is>
      </c>
      <c r="G4" s="15" t="inlineStr">
        <is>
          <t xml:space="preserve">Sözleşme Miktarı</t>
        </is>
      </c>
      <c r="H4" s="14" t="inlineStr">
        <is>
          <t xml:space="preserve">Toplam Sözleşme Tutarı</t>
        </is>
      </c>
    </row>
    <row r="5" ht="22" customHeight="1">
      <c r="A5" s="2"/>
      <c r="B5" s="2"/>
      <c r="C5" s="2"/>
      <c r="D5" s="2"/>
      <c r="E5" s="2"/>
      <c r="F5" s="8"/>
      <c r="G5" s="16"/>
      <c r="H5" s="8" t="str">
        <f>IF(D5="","",IF(COUNT(F5:G5)=2,ROUND(PRODUCT(F5:G5),2),""))</f>
        <v/>
      </c>
    </row>
    <row r="6" ht="22" customHeight="1">
      <c r="A6" s="17"/>
      <c r="B6" s="17"/>
      <c r="C6" s="17"/>
      <c r="D6" s="17"/>
      <c r="E6" s="17"/>
      <c r="F6" s="18"/>
      <c r="G6" s="19"/>
      <c r="H6" s="18" t="str">
        <f>IF(D6="","",IF(COUNT(F6:G6)=2,ROUND(PRODUCT(F6:G6),2),""))</f>
        <v/>
      </c>
    </row>
    <row r="7" ht="22" customHeight="1">
      <c r="A7" s="2"/>
      <c r="B7" s="2"/>
      <c r="C7" s="2"/>
      <c r="D7" s="2"/>
      <c r="E7" s="2"/>
      <c r="F7" s="8"/>
      <c r="G7" s="16"/>
      <c r="H7" s="8" t="str">
        <f>IF(D7="","",IF(COUNT(F7:G7)=2,ROUND(PRODUCT(F7:G7),2),""))</f>
        <v/>
      </c>
    </row>
    <row r="8" ht="22" customHeight="1">
      <c r="A8" s="17"/>
      <c r="B8" s="17"/>
      <c r="C8" s="17"/>
      <c r="D8" s="17"/>
      <c r="E8" s="17"/>
      <c r="F8" s="18"/>
      <c r="G8" s="19"/>
      <c r="H8" s="18" t="str">
        <f>IF(D8="","",IF(COUNT(F8:G8)=2,ROUND(PRODUCT(F8:G8),2),""))</f>
        <v/>
      </c>
    </row>
    <row r="9" ht="22" customHeight="1">
      <c r="A9" s="2"/>
      <c r="B9" s="2"/>
      <c r="C9" s="2"/>
      <c r="D9" s="2"/>
      <c r="E9" s="2"/>
      <c r="F9" s="8"/>
      <c r="G9" s="16"/>
      <c r="H9" s="8" t="str">
        <f>IF(D9="","",IF(COUNT(F9:G9)=2,ROUND(PRODUCT(F9:G9),2),""))</f>
        <v/>
      </c>
    </row>
    <row r="10" ht="22" customHeight="1">
      <c r="A10" s="17"/>
      <c r="B10" s="17"/>
      <c r="C10" s="17"/>
      <c r="D10" s="17"/>
      <c r="E10" s="17"/>
      <c r="F10" s="18"/>
      <c r="G10" s="19"/>
      <c r="H10" s="18" t="str">
        <f>IF(D10="","",IF(COUNT(F10:G10)=2,ROUND(PRODUCT(F10:G10),2),""))</f>
        <v/>
      </c>
    </row>
    <row r="11" ht="22" customHeight="1">
      <c r="A11" s="2"/>
      <c r="B11" s="2"/>
      <c r="C11" s="2"/>
      <c r="D11" s="2"/>
      <c r="E11" s="2"/>
      <c r="F11" s="8"/>
      <c r="G11" s="16"/>
      <c r="H11" s="8" t="str">
        <f>IF(D11="","",IF(COUNT(F11:G11)=2,ROUND(PRODUCT(F11:G11),2),""))</f>
        <v/>
      </c>
    </row>
    <row r="12" ht="22" customHeight="1">
      <c r="A12" s="17"/>
      <c r="B12" s="17"/>
      <c r="C12" s="17"/>
      <c r="D12" s="17"/>
      <c r="E12" s="17"/>
      <c r="F12" s="18"/>
      <c r="G12" s="19"/>
      <c r="H12" s="18" t="str">
        <f>IF(D12="","",IF(COUNT(F12:G12)=2,ROUND(PRODUCT(F12:G12),2),""))</f>
        <v/>
      </c>
    </row>
    <row r="13" ht="22" customHeight="1">
      <c r="A13" s="2"/>
      <c r="B13" s="2"/>
      <c r="C13" s="2"/>
      <c r="D13" s="2"/>
      <c r="E13" s="2"/>
      <c r="F13" s="8"/>
      <c r="G13" s="16"/>
      <c r="H13" s="8" t="str">
        <f>IF(D13="","",IF(COUNT(F13:G13)=2,ROUND(PRODUCT(F13:G13),2),""))</f>
        <v/>
      </c>
    </row>
    <row r="14" ht="22" customHeight="1">
      <c r="A14" s="17"/>
      <c r="B14" s="17"/>
      <c r="C14" s="17"/>
      <c r="D14" s="17"/>
      <c r="E14" s="17"/>
      <c r="F14" s="18"/>
      <c r="G14" s="19"/>
      <c r="H14" s="18" t="str">
        <f>IF(D14="","",IF(COUNT(F14:G14)=2,ROUND(PRODUCT(F14:G14),2),""))</f>
        <v/>
      </c>
    </row>
    <row r="15" ht="22" customHeight="1">
      <c r="A15" s="2"/>
      <c r="B15" s="2"/>
      <c r="C15" s="2"/>
      <c r="D15" s="2"/>
      <c r="E15" s="2"/>
      <c r="F15" s="8"/>
      <c r="G15" s="16"/>
      <c r="H15" s="8" t="str">
        <f>IF(D15="","",IF(COUNT(F15:G15)=2,ROUND(PRODUCT(F15:G15),2),""))</f>
        <v/>
      </c>
    </row>
    <row r="16" ht="22" customHeight="1">
      <c r="A16" s="17"/>
      <c r="B16" s="17"/>
      <c r="C16" s="17"/>
      <c r="D16" s="17"/>
      <c r="E16" s="17"/>
      <c r="F16" s="18"/>
      <c r="G16" s="19"/>
      <c r="H16" s="18" t="str">
        <f>IF(D16="","",IF(COUNT(F16:G16)=2,ROUND(PRODUCT(F16:G16),2),""))</f>
        <v/>
      </c>
    </row>
    <row r="17" ht="22" customHeight="1">
      <c r="A17" s="2"/>
      <c r="B17" s="2"/>
      <c r="C17" s="2"/>
      <c r="D17" s="2"/>
      <c r="E17" s="2"/>
      <c r="F17" s="8"/>
      <c r="G17" s="16"/>
      <c r="H17" s="8" t="str">
        <f>IF(D17="","",IF(COUNT(F17:G17)=2,ROUND(PRODUCT(F17:G17),2),""))</f>
        <v/>
      </c>
    </row>
    <row r="18" ht="22" customHeight="1">
      <c r="A18" s="17"/>
      <c r="B18" s="17"/>
      <c r="C18" s="17"/>
      <c r="D18" s="17"/>
      <c r="E18" s="17"/>
      <c r="F18" s="18"/>
      <c r="G18" s="19"/>
      <c r="H18" s="18" t="str">
        <f>IF(D18="","",IF(COUNT(F18:G18)=2,ROUND(PRODUCT(F18:G18),2),""))</f>
        <v/>
      </c>
    </row>
    <row r="19" ht="22" customHeight="1">
      <c r="A19" s="2"/>
      <c r="B19" s="2"/>
      <c r="C19" s="2"/>
      <c r="D19" s="2"/>
      <c r="E19" s="2"/>
      <c r="F19" s="8"/>
      <c r="G19" s="16"/>
      <c r="H19" s="8" t="str">
        <f>IF(D19="","",IF(COUNT(F19:G19)=2,ROUND(PRODUCT(F19:G19),2),""))</f>
        <v/>
      </c>
    </row>
    <row r="20" ht="22" customHeight="1">
      <c r="A20" s="17"/>
      <c r="B20" s="17"/>
      <c r="C20" s="17"/>
      <c r="D20" s="17"/>
      <c r="E20" s="17"/>
      <c r="F20" s="18"/>
      <c r="G20" s="19"/>
      <c r="H20" s="18" t="str">
        <f>IF(D20="","",IF(COUNT(F20:G20)=2,ROUND(PRODUCT(F20:G20),2),""))</f>
        <v/>
      </c>
    </row>
    <row r="21" ht="22" customHeight="1">
      <c r="A21" s="2"/>
      <c r="B21" s="2"/>
      <c r="C21" s="2"/>
      <c r="D21" s="2"/>
      <c r="E21" s="2"/>
      <c r="F21" s="8"/>
      <c r="G21" s="16"/>
      <c r="H21" s="8" t="str">
        <f>IF(D21="","",IF(COUNT(F21:G21)=2,ROUND(PRODUCT(F21:G21),2),""))</f>
        <v/>
      </c>
    </row>
    <row r="22" ht="22" customHeight="1">
      <c r="A22" s="17"/>
      <c r="B22" s="17"/>
      <c r="C22" s="17"/>
      <c r="D22" s="17"/>
      <c r="E22" s="17"/>
      <c r="F22" s="18"/>
      <c r="G22" s="19"/>
      <c r="H22" s="18" t="str">
        <f>IF(D22="","",IF(COUNT(F22:G22)=2,ROUND(PRODUCT(F22:G22),2),""))</f>
        <v/>
      </c>
    </row>
    <row r="23" ht="22" customHeight="1">
      <c r="A23" s="2"/>
      <c r="B23" s="2"/>
      <c r="C23" s="2"/>
      <c r="D23" s="2"/>
      <c r="E23" s="2"/>
      <c r="F23" s="8"/>
      <c r="G23" s="16"/>
      <c r="H23" s="8" t="str">
        <f>IF(D23="","",IF(COUNT(F23:G23)=2,ROUND(PRODUCT(F23:G23),2),""))</f>
        <v/>
      </c>
    </row>
    <row r="24" ht="22" customHeight="1">
      <c r="A24" s="17"/>
      <c r="B24" s="17"/>
      <c r="C24" s="17"/>
      <c r="D24" s="17"/>
      <c r="E24" s="17"/>
      <c r="F24" s="18"/>
      <c r="G24" s="19"/>
      <c r="H24" s="18" t="str">
        <f>IF(D24="","",IF(COUNT(F24:G24)=2,ROUND(PRODUCT(F24:G24),2),""))</f>
        <v/>
      </c>
    </row>
    <row r="26" ht="25" customHeight="1">
      <c r="A26" s="6" t="inlineStr">
        <is>
          <t xml:space="preserve">TOPLAM SÖZLEŞME TUTARI</t>
        </is>
      </c>
      <c r="B26" s="6"/>
      <c r="C26" s="6"/>
      <c r="D26" s="6"/>
      <c r="E26" s="6"/>
      <c r="F26" s="20"/>
      <c r="G26" s="21"/>
      <c r="H26" s="18" t="str">
        <f>IF(COUNTIF('Sözleşme Metrajı'!D5:D24,"&lt;&gt;")=0,"",IF(COUNT('Sözleşme Metrajı'!H5:H24)=COUNTIF('Sözleşme Metrajı'!D5:D24,"&lt;&gt;"),SUM('Sözleşme Metrajı'!H5:H24),""))</f>
        <v/>
      </c>
    </row>
  </sheetData>
  <autoFilter ref="A4:H24"/>
  <mergeCells count="2">
    <mergeCell ref="A1:H1"/>
    <mergeCell ref="A26:G26"/>
  </mergeCells>
  <pageMargins left="0.25" right="0.25" top="0.35" bottom="0.35" header="0.15" footer="0.15"/>
  <pageSetup paperSize="9" orientation="landscape" fitToWidth="1" fitToHeight="0"/>
  <headerFooter>
    <oddFooter>CephePro | Sayfa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41"/>
  <sheetViews>
    <sheetView workbookViewId="0" showGridLines="0">
      <pane xSplit="5" ySplit="4" topLeftCell="F5" activePane="bottomRight" state="frozen"/>
    </sheetView>
  </sheetViews>
  <sheetFormatPr defaultRowHeight="22"/>
  <cols>
    <col min="1" max="1" width="48" customWidth="1"/>
    <col min="2" max="2" width="12" customWidth="1"/>
    <col min="3" max="3" width="12" customWidth="1"/>
    <col min="4" max="4" width="43" customWidth="1"/>
    <col min="5" max="5" width="12" customWidth="1"/>
    <col min="6" max="6" width="13" customWidth="1"/>
    <col min="7" max="7" width="15" customWidth="1"/>
    <col min="8" max="8" width="17" customWidth="1"/>
    <col min="9" max="9" width="23" customWidth="1"/>
    <col min="10" max="10" width="17" customWidth="1"/>
    <col min="11" max="11" width="18" customWidth="1"/>
  </cols>
  <sheetData>
    <row r="1" ht="34" customHeight="1">
      <c r="A1" s="1" t="inlineStr">
        <is>
          <t xml:space="preserve">Hakediş Cetveli</t>
        </is>
      </c>
      <c r="B1" s="1"/>
      <c r="C1" s="1"/>
      <c r="D1" s="1"/>
      <c r="E1" s="1"/>
      <c r="F1" s="11"/>
      <c r="G1" s="12"/>
      <c r="H1" s="12"/>
      <c r="I1" s="12"/>
      <c r="J1" s="11"/>
      <c r="K1" s="22"/>
    </row>
    <row r="4" ht="38" customHeight="1">
      <c r="A4" s="13" t="inlineStr">
        <is>
          <t xml:space="preserve">Poz No</t>
        </is>
      </c>
      <c r="B4" s="13" t="inlineStr">
        <is>
          <t xml:space="preserve">Blok</t>
        </is>
      </c>
      <c r="C4" s="13" t="inlineStr">
        <is>
          <t xml:space="preserve">Cephe</t>
        </is>
      </c>
      <c r="D4" s="13" t="inlineStr">
        <is>
          <t xml:space="preserve">İş Kalemi Açıklaması</t>
        </is>
      </c>
      <c r="E4" s="13" t="inlineStr">
        <is>
          <t xml:space="preserve">Birim</t>
        </is>
      </c>
      <c r="F4" s="14" t="inlineStr">
        <is>
          <t xml:space="preserve">Birim Fiyat</t>
        </is>
      </c>
      <c r="G4" s="15" t="inlineStr">
        <is>
          <t xml:space="preserve">Önceki Miktar</t>
        </is>
      </c>
      <c r="H4" s="15" t="inlineStr">
        <is>
          <t xml:space="preserve">Bu Dönem Miktar</t>
        </is>
      </c>
      <c r="I4" s="15" t="inlineStr">
        <is>
          <t xml:space="preserve">Toplam Yapılan Miktar</t>
        </is>
      </c>
      <c r="J4" s="14" t="inlineStr">
        <is>
          <t xml:space="preserve">Bu Dönem Tutarı</t>
        </is>
      </c>
      <c r="K4" s="23" t="inlineStr">
        <is>
          <t xml:space="preserve">Tamamlanma Oranı</t>
        </is>
      </c>
    </row>
    <row r="5" ht="22" customHeight="1">
      <c r="A5" s="2" t="str">
        <f>IF('Sözleşme Metrajı'!A5="","",'Sözleşme Metrajı'!A5)</f>
        <v/>
      </c>
      <c r="B5" s="2" t="str">
        <f>IF('Sözleşme Metrajı'!B5="","",'Sözleşme Metrajı'!B5)</f>
        <v/>
      </c>
      <c r="C5" s="2" t="str">
        <f>IF('Sözleşme Metrajı'!C5="","",'Sözleşme Metrajı'!C5)</f>
        <v/>
      </c>
      <c r="D5" s="2" t="str">
        <f>IF('Sözleşme Metrajı'!D5="","",'Sözleşme Metrajı'!D5)</f>
        <v/>
      </c>
      <c r="E5" s="2" t="str">
        <f>IF('Sözleşme Metrajı'!E5="","",'Sözleşme Metrajı'!E5)</f>
        <v/>
      </c>
      <c r="F5" s="8" t="str">
        <f>IF(AND(D5&lt;&gt;"",ISNUMBER('Sözleşme Metrajı'!F5)),'Sözleşme Metrajı'!F5,"")</f>
        <v/>
      </c>
      <c r="G5" s="16"/>
      <c r="H5" s="16"/>
      <c r="I5" s="16" t="str">
        <f>IF(D5="","",IF(COUNT(G5:H5)=2,SUM(G5:H5),""))</f>
        <v/>
      </c>
      <c r="J5" s="8" t="str">
        <f>IF(D5="","",IF(H5="","",IF(H5=0,0,IF(COUNT(F5,H5)=2,ROUND(F5*H5,2),""))))</f>
        <v/>
      </c>
      <c r="K5" s="7" t="str">
        <f>IF(AND(ISNUMBER(I5),ISNUMBER('Sözleşme Metrajı'!G5),'Sözleşme Metrajı'!G5&gt;0),I5/'Sözleşme Metrajı'!G5,"")</f>
        <v/>
      </c>
    </row>
    <row r="6" ht="22" customHeight="1">
      <c r="A6" s="17" t="str">
        <f>IF('Sözleşme Metrajı'!A6="","",'Sözleşme Metrajı'!A6)</f>
        <v/>
      </c>
      <c r="B6" s="17" t="str">
        <f>IF('Sözleşme Metrajı'!B6="","",'Sözleşme Metrajı'!B6)</f>
        <v/>
      </c>
      <c r="C6" s="17" t="str">
        <f>IF('Sözleşme Metrajı'!C6="","",'Sözleşme Metrajı'!C6)</f>
        <v/>
      </c>
      <c r="D6" s="17" t="str">
        <f>IF('Sözleşme Metrajı'!D6="","",'Sözleşme Metrajı'!D6)</f>
        <v/>
      </c>
      <c r="E6" s="17" t="str">
        <f>IF('Sözleşme Metrajı'!E6="","",'Sözleşme Metrajı'!E6)</f>
        <v/>
      </c>
      <c r="F6" s="18" t="str">
        <f>IF(AND(D6&lt;&gt;"",ISNUMBER('Sözleşme Metrajı'!F6)),'Sözleşme Metrajı'!F6,"")</f>
        <v/>
      </c>
      <c r="G6" s="19"/>
      <c r="H6" s="19"/>
      <c r="I6" s="19" t="str">
        <f>IF(D6="","",IF(COUNT(G6:H6)=2,SUM(G6:H6),""))</f>
        <v/>
      </c>
      <c r="J6" s="18" t="str">
        <f>IF(D6="","",IF(H6="","",IF(H6=0,0,IF(COUNT(F6,H6)=2,ROUND(F6*H6,2),""))))</f>
        <v/>
      </c>
      <c r="K6" s="24" t="str">
        <f>IF(AND(ISNUMBER(I6),ISNUMBER('Sözleşme Metrajı'!G6),'Sözleşme Metrajı'!G6&gt;0),I6/'Sözleşme Metrajı'!G6,"")</f>
        <v/>
      </c>
    </row>
    <row r="7" ht="22" customHeight="1">
      <c r="A7" s="2" t="str">
        <f>IF('Sözleşme Metrajı'!A7="","",'Sözleşme Metrajı'!A7)</f>
        <v/>
      </c>
      <c r="B7" s="2" t="str">
        <f>IF('Sözleşme Metrajı'!B7="","",'Sözleşme Metrajı'!B7)</f>
        <v/>
      </c>
      <c r="C7" s="2" t="str">
        <f>IF('Sözleşme Metrajı'!C7="","",'Sözleşme Metrajı'!C7)</f>
        <v/>
      </c>
      <c r="D7" s="2" t="str">
        <f>IF('Sözleşme Metrajı'!D7="","",'Sözleşme Metrajı'!D7)</f>
        <v/>
      </c>
      <c r="E7" s="2" t="str">
        <f>IF('Sözleşme Metrajı'!E7="","",'Sözleşme Metrajı'!E7)</f>
        <v/>
      </c>
      <c r="F7" s="8" t="str">
        <f>IF(AND(D7&lt;&gt;"",ISNUMBER('Sözleşme Metrajı'!F7)),'Sözleşme Metrajı'!F7,"")</f>
        <v/>
      </c>
      <c r="G7" s="16"/>
      <c r="H7" s="16"/>
      <c r="I7" s="16" t="str">
        <f>IF(D7="","",IF(COUNT(G7:H7)=2,SUM(G7:H7),""))</f>
        <v/>
      </c>
      <c r="J7" s="8" t="str">
        <f>IF(D7="","",IF(H7="","",IF(H7=0,0,IF(COUNT(F7,H7)=2,ROUND(F7*H7,2),""))))</f>
        <v/>
      </c>
      <c r="K7" s="7" t="str">
        <f>IF(AND(ISNUMBER(I7),ISNUMBER('Sözleşme Metrajı'!G7),'Sözleşme Metrajı'!G7&gt;0),I7/'Sözleşme Metrajı'!G7,"")</f>
        <v/>
      </c>
    </row>
    <row r="8" ht="22" customHeight="1">
      <c r="A8" s="17" t="str">
        <f>IF('Sözleşme Metrajı'!A8="","",'Sözleşme Metrajı'!A8)</f>
        <v/>
      </c>
      <c r="B8" s="17" t="str">
        <f>IF('Sözleşme Metrajı'!B8="","",'Sözleşme Metrajı'!B8)</f>
        <v/>
      </c>
      <c r="C8" s="17" t="str">
        <f>IF('Sözleşme Metrajı'!C8="","",'Sözleşme Metrajı'!C8)</f>
        <v/>
      </c>
      <c r="D8" s="17" t="str">
        <f>IF('Sözleşme Metrajı'!D8="","",'Sözleşme Metrajı'!D8)</f>
        <v/>
      </c>
      <c r="E8" s="17" t="str">
        <f>IF('Sözleşme Metrajı'!E8="","",'Sözleşme Metrajı'!E8)</f>
        <v/>
      </c>
      <c r="F8" s="18" t="str">
        <f>IF(AND(D8&lt;&gt;"",ISNUMBER('Sözleşme Metrajı'!F8)),'Sözleşme Metrajı'!F8,"")</f>
        <v/>
      </c>
      <c r="G8" s="19"/>
      <c r="H8" s="19"/>
      <c r="I8" s="19" t="str">
        <f>IF(D8="","",IF(COUNT(G8:H8)=2,SUM(G8:H8),""))</f>
        <v/>
      </c>
      <c r="J8" s="18" t="str">
        <f>IF(D8="","",IF(H8="","",IF(H8=0,0,IF(COUNT(F8,H8)=2,ROUND(F8*H8,2),""))))</f>
        <v/>
      </c>
      <c r="K8" s="24" t="str">
        <f>IF(AND(ISNUMBER(I8),ISNUMBER('Sözleşme Metrajı'!G8),'Sözleşme Metrajı'!G8&gt;0),I8/'Sözleşme Metrajı'!G8,"")</f>
        <v/>
      </c>
    </row>
    <row r="9" ht="22" customHeight="1">
      <c r="A9" s="2" t="str">
        <f>IF('Sözleşme Metrajı'!A9="","",'Sözleşme Metrajı'!A9)</f>
        <v/>
      </c>
      <c r="B9" s="2" t="str">
        <f>IF('Sözleşme Metrajı'!B9="","",'Sözleşme Metrajı'!B9)</f>
        <v/>
      </c>
      <c r="C9" s="2" t="str">
        <f>IF('Sözleşme Metrajı'!C9="","",'Sözleşme Metrajı'!C9)</f>
        <v/>
      </c>
      <c r="D9" s="2" t="str">
        <f>IF('Sözleşme Metrajı'!D9="","",'Sözleşme Metrajı'!D9)</f>
        <v/>
      </c>
      <c r="E9" s="2" t="str">
        <f>IF('Sözleşme Metrajı'!E9="","",'Sözleşme Metrajı'!E9)</f>
        <v/>
      </c>
      <c r="F9" s="8" t="str">
        <f>IF(AND(D9&lt;&gt;"",ISNUMBER('Sözleşme Metrajı'!F9)),'Sözleşme Metrajı'!F9,"")</f>
        <v/>
      </c>
      <c r="G9" s="16"/>
      <c r="H9" s="16"/>
      <c r="I9" s="16" t="str">
        <f>IF(D9="","",IF(COUNT(G9:H9)=2,SUM(G9:H9),""))</f>
        <v/>
      </c>
      <c r="J9" s="8" t="str">
        <f>IF(D9="","",IF(H9="","",IF(H9=0,0,IF(COUNT(F9,H9)=2,ROUND(F9*H9,2),""))))</f>
        <v/>
      </c>
      <c r="K9" s="7" t="str">
        <f>IF(AND(ISNUMBER(I9),ISNUMBER('Sözleşme Metrajı'!G9),'Sözleşme Metrajı'!G9&gt;0),I9/'Sözleşme Metrajı'!G9,"")</f>
        <v/>
      </c>
    </row>
    <row r="10" ht="22" customHeight="1">
      <c r="A10" s="17" t="str">
        <f>IF('Sözleşme Metrajı'!A10="","",'Sözleşme Metrajı'!A10)</f>
        <v/>
      </c>
      <c r="B10" s="17" t="str">
        <f>IF('Sözleşme Metrajı'!B10="","",'Sözleşme Metrajı'!B10)</f>
        <v/>
      </c>
      <c r="C10" s="17" t="str">
        <f>IF('Sözleşme Metrajı'!C10="","",'Sözleşme Metrajı'!C10)</f>
        <v/>
      </c>
      <c r="D10" s="17" t="str">
        <f>IF('Sözleşme Metrajı'!D10="","",'Sözleşme Metrajı'!D10)</f>
        <v/>
      </c>
      <c r="E10" s="17" t="str">
        <f>IF('Sözleşme Metrajı'!E10="","",'Sözleşme Metrajı'!E10)</f>
        <v/>
      </c>
      <c r="F10" s="18" t="str">
        <f>IF(AND(D10&lt;&gt;"",ISNUMBER('Sözleşme Metrajı'!F10)),'Sözleşme Metrajı'!F10,"")</f>
        <v/>
      </c>
      <c r="G10" s="19"/>
      <c r="H10" s="19"/>
      <c r="I10" s="19" t="str">
        <f>IF(D10="","",IF(COUNT(G10:H10)=2,SUM(G10:H10),""))</f>
        <v/>
      </c>
      <c r="J10" s="18" t="str">
        <f>IF(D10="","",IF(H10="","",IF(H10=0,0,IF(COUNT(F10,H10)=2,ROUND(F10*H10,2),""))))</f>
        <v/>
      </c>
      <c r="K10" s="24" t="str">
        <f>IF(AND(ISNUMBER(I10),ISNUMBER('Sözleşme Metrajı'!G10),'Sözleşme Metrajı'!G10&gt;0),I10/'Sözleşme Metrajı'!G10,"")</f>
        <v/>
      </c>
    </row>
    <row r="11" ht="22" customHeight="1">
      <c r="A11" s="2" t="str">
        <f>IF('Sözleşme Metrajı'!A11="","",'Sözleşme Metrajı'!A11)</f>
        <v/>
      </c>
      <c r="B11" s="2" t="str">
        <f>IF('Sözleşme Metrajı'!B11="","",'Sözleşme Metrajı'!B11)</f>
        <v/>
      </c>
      <c r="C11" s="2" t="str">
        <f>IF('Sözleşme Metrajı'!C11="","",'Sözleşme Metrajı'!C11)</f>
        <v/>
      </c>
      <c r="D11" s="2" t="str">
        <f>IF('Sözleşme Metrajı'!D11="","",'Sözleşme Metrajı'!D11)</f>
        <v/>
      </c>
      <c r="E11" s="2" t="str">
        <f>IF('Sözleşme Metrajı'!E11="","",'Sözleşme Metrajı'!E11)</f>
        <v/>
      </c>
      <c r="F11" s="8" t="str">
        <f>IF(AND(D11&lt;&gt;"",ISNUMBER('Sözleşme Metrajı'!F11)),'Sözleşme Metrajı'!F11,"")</f>
        <v/>
      </c>
      <c r="G11" s="16"/>
      <c r="H11" s="16"/>
      <c r="I11" s="16" t="str">
        <f>IF(D11="","",IF(COUNT(G11:H11)=2,SUM(G11:H11),""))</f>
        <v/>
      </c>
      <c r="J11" s="8" t="str">
        <f>IF(D11="","",IF(H11="","",IF(H11=0,0,IF(COUNT(F11,H11)=2,ROUND(F11*H11,2),""))))</f>
        <v/>
      </c>
      <c r="K11" s="7" t="str">
        <f>IF(AND(ISNUMBER(I11),ISNUMBER('Sözleşme Metrajı'!G11),'Sözleşme Metrajı'!G11&gt;0),I11/'Sözleşme Metrajı'!G11,"")</f>
        <v/>
      </c>
    </row>
    <row r="12" ht="22" customHeight="1">
      <c r="A12" s="17" t="str">
        <f>IF('Sözleşme Metrajı'!A12="","",'Sözleşme Metrajı'!A12)</f>
        <v/>
      </c>
      <c r="B12" s="17" t="str">
        <f>IF('Sözleşme Metrajı'!B12="","",'Sözleşme Metrajı'!B12)</f>
        <v/>
      </c>
      <c r="C12" s="17" t="str">
        <f>IF('Sözleşme Metrajı'!C12="","",'Sözleşme Metrajı'!C12)</f>
        <v/>
      </c>
      <c r="D12" s="17" t="str">
        <f>IF('Sözleşme Metrajı'!D12="","",'Sözleşme Metrajı'!D12)</f>
        <v/>
      </c>
      <c r="E12" s="17" t="str">
        <f>IF('Sözleşme Metrajı'!E12="","",'Sözleşme Metrajı'!E12)</f>
        <v/>
      </c>
      <c r="F12" s="18" t="str">
        <f>IF(AND(D12&lt;&gt;"",ISNUMBER('Sözleşme Metrajı'!F12)),'Sözleşme Metrajı'!F12,"")</f>
        <v/>
      </c>
      <c r="G12" s="19"/>
      <c r="H12" s="19"/>
      <c r="I12" s="19" t="str">
        <f>IF(D12="","",IF(COUNT(G12:H12)=2,SUM(G12:H12),""))</f>
        <v/>
      </c>
      <c r="J12" s="18" t="str">
        <f>IF(D12="","",IF(H12="","",IF(H12=0,0,IF(COUNT(F12,H12)=2,ROUND(F12*H12,2),""))))</f>
        <v/>
      </c>
      <c r="K12" s="24" t="str">
        <f>IF(AND(ISNUMBER(I12),ISNUMBER('Sözleşme Metrajı'!G12),'Sözleşme Metrajı'!G12&gt;0),I12/'Sözleşme Metrajı'!G12,"")</f>
        <v/>
      </c>
    </row>
    <row r="13" ht="22" customHeight="1">
      <c r="A13" s="2" t="str">
        <f>IF('Sözleşme Metrajı'!A13="","",'Sözleşme Metrajı'!A13)</f>
        <v/>
      </c>
      <c r="B13" s="2" t="str">
        <f>IF('Sözleşme Metrajı'!B13="","",'Sözleşme Metrajı'!B13)</f>
        <v/>
      </c>
      <c r="C13" s="2" t="str">
        <f>IF('Sözleşme Metrajı'!C13="","",'Sözleşme Metrajı'!C13)</f>
        <v/>
      </c>
      <c r="D13" s="2" t="str">
        <f>IF('Sözleşme Metrajı'!D13="","",'Sözleşme Metrajı'!D13)</f>
        <v/>
      </c>
      <c r="E13" s="2" t="str">
        <f>IF('Sözleşme Metrajı'!E13="","",'Sözleşme Metrajı'!E13)</f>
        <v/>
      </c>
      <c r="F13" s="8" t="str">
        <f>IF(AND(D13&lt;&gt;"",ISNUMBER('Sözleşme Metrajı'!F13)),'Sözleşme Metrajı'!F13,"")</f>
        <v/>
      </c>
      <c r="G13" s="16"/>
      <c r="H13" s="16"/>
      <c r="I13" s="16" t="str">
        <f>IF(D13="","",IF(COUNT(G13:H13)=2,SUM(G13:H13),""))</f>
        <v/>
      </c>
      <c r="J13" s="8" t="str">
        <f>IF(D13="","",IF(H13="","",IF(H13=0,0,IF(COUNT(F13,H13)=2,ROUND(F13*H13,2),""))))</f>
        <v/>
      </c>
      <c r="K13" s="7" t="str">
        <f>IF(AND(ISNUMBER(I13),ISNUMBER('Sözleşme Metrajı'!G13),'Sözleşme Metrajı'!G13&gt;0),I13/'Sözleşme Metrajı'!G13,"")</f>
        <v/>
      </c>
    </row>
    <row r="14" ht="22" customHeight="1">
      <c r="A14" s="17" t="str">
        <f>IF('Sözleşme Metrajı'!A14="","",'Sözleşme Metrajı'!A14)</f>
        <v/>
      </c>
      <c r="B14" s="17" t="str">
        <f>IF('Sözleşme Metrajı'!B14="","",'Sözleşme Metrajı'!B14)</f>
        <v/>
      </c>
      <c r="C14" s="17" t="str">
        <f>IF('Sözleşme Metrajı'!C14="","",'Sözleşme Metrajı'!C14)</f>
        <v/>
      </c>
      <c r="D14" s="17" t="str">
        <f>IF('Sözleşme Metrajı'!D14="","",'Sözleşme Metrajı'!D14)</f>
        <v/>
      </c>
      <c r="E14" s="17" t="str">
        <f>IF('Sözleşme Metrajı'!E14="","",'Sözleşme Metrajı'!E14)</f>
        <v/>
      </c>
      <c r="F14" s="18" t="str">
        <f>IF(AND(D14&lt;&gt;"",ISNUMBER('Sözleşme Metrajı'!F14)),'Sözleşme Metrajı'!F14,"")</f>
        <v/>
      </c>
      <c r="G14" s="19"/>
      <c r="H14" s="19"/>
      <c r="I14" s="19" t="str">
        <f>IF(D14="","",IF(COUNT(G14:H14)=2,SUM(G14:H14),""))</f>
        <v/>
      </c>
      <c r="J14" s="18" t="str">
        <f>IF(D14="","",IF(H14="","",IF(H14=0,0,IF(COUNT(F14,H14)=2,ROUND(F14*H14,2),""))))</f>
        <v/>
      </c>
      <c r="K14" s="24" t="str">
        <f>IF(AND(ISNUMBER(I14),ISNUMBER('Sözleşme Metrajı'!G14),'Sözleşme Metrajı'!G14&gt;0),I14/'Sözleşme Metrajı'!G14,"")</f>
        <v/>
      </c>
    </row>
    <row r="15" ht="22" customHeight="1">
      <c r="A15" s="2" t="str">
        <f>IF('Sözleşme Metrajı'!A15="","",'Sözleşme Metrajı'!A15)</f>
        <v/>
      </c>
      <c r="B15" s="2" t="str">
        <f>IF('Sözleşme Metrajı'!B15="","",'Sözleşme Metrajı'!B15)</f>
        <v/>
      </c>
      <c r="C15" s="2" t="str">
        <f>IF('Sözleşme Metrajı'!C15="","",'Sözleşme Metrajı'!C15)</f>
        <v/>
      </c>
      <c r="D15" s="2" t="str">
        <f>IF('Sözleşme Metrajı'!D15="","",'Sözleşme Metrajı'!D15)</f>
        <v/>
      </c>
      <c r="E15" s="2" t="str">
        <f>IF('Sözleşme Metrajı'!E15="","",'Sözleşme Metrajı'!E15)</f>
        <v/>
      </c>
      <c r="F15" s="8" t="str">
        <f>IF(AND(D15&lt;&gt;"",ISNUMBER('Sözleşme Metrajı'!F15)),'Sözleşme Metrajı'!F15,"")</f>
        <v/>
      </c>
      <c r="G15" s="16"/>
      <c r="H15" s="16"/>
      <c r="I15" s="16" t="str">
        <f>IF(D15="","",IF(COUNT(G15:H15)=2,SUM(G15:H15),""))</f>
        <v/>
      </c>
      <c r="J15" s="8" t="str">
        <f>IF(D15="","",IF(H15="","",IF(H15=0,0,IF(COUNT(F15,H15)=2,ROUND(F15*H15,2),""))))</f>
        <v/>
      </c>
      <c r="K15" s="7" t="str">
        <f>IF(AND(ISNUMBER(I15),ISNUMBER('Sözleşme Metrajı'!G15),'Sözleşme Metrajı'!G15&gt;0),I15/'Sözleşme Metrajı'!G15,"")</f>
        <v/>
      </c>
    </row>
    <row r="16" ht="22" customHeight="1">
      <c r="A16" s="17" t="str">
        <f>IF('Sözleşme Metrajı'!A16="","",'Sözleşme Metrajı'!A16)</f>
        <v/>
      </c>
      <c r="B16" s="17" t="str">
        <f>IF('Sözleşme Metrajı'!B16="","",'Sözleşme Metrajı'!B16)</f>
        <v/>
      </c>
      <c r="C16" s="17" t="str">
        <f>IF('Sözleşme Metrajı'!C16="","",'Sözleşme Metrajı'!C16)</f>
        <v/>
      </c>
      <c r="D16" s="17" t="str">
        <f>IF('Sözleşme Metrajı'!D16="","",'Sözleşme Metrajı'!D16)</f>
        <v/>
      </c>
      <c r="E16" s="17" t="str">
        <f>IF('Sözleşme Metrajı'!E16="","",'Sözleşme Metrajı'!E16)</f>
        <v/>
      </c>
      <c r="F16" s="18" t="str">
        <f>IF(AND(D16&lt;&gt;"",ISNUMBER('Sözleşme Metrajı'!F16)),'Sözleşme Metrajı'!F16,"")</f>
        <v/>
      </c>
      <c r="G16" s="19"/>
      <c r="H16" s="19"/>
      <c r="I16" s="19" t="str">
        <f>IF(D16="","",IF(COUNT(G16:H16)=2,SUM(G16:H16),""))</f>
        <v/>
      </c>
      <c r="J16" s="18" t="str">
        <f>IF(D16="","",IF(H16="","",IF(H16=0,0,IF(COUNT(F16,H16)=2,ROUND(F16*H16,2),""))))</f>
        <v/>
      </c>
      <c r="K16" s="24" t="str">
        <f>IF(AND(ISNUMBER(I16),ISNUMBER('Sözleşme Metrajı'!G16),'Sözleşme Metrajı'!G16&gt;0),I16/'Sözleşme Metrajı'!G16,"")</f>
        <v/>
      </c>
    </row>
    <row r="17" ht="22" customHeight="1">
      <c r="A17" s="2" t="str">
        <f>IF('Sözleşme Metrajı'!A17="","",'Sözleşme Metrajı'!A17)</f>
        <v/>
      </c>
      <c r="B17" s="2" t="str">
        <f>IF('Sözleşme Metrajı'!B17="","",'Sözleşme Metrajı'!B17)</f>
        <v/>
      </c>
      <c r="C17" s="2" t="str">
        <f>IF('Sözleşme Metrajı'!C17="","",'Sözleşme Metrajı'!C17)</f>
        <v/>
      </c>
      <c r="D17" s="2" t="str">
        <f>IF('Sözleşme Metrajı'!D17="","",'Sözleşme Metrajı'!D17)</f>
        <v/>
      </c>
      <c r="E17" s="2" t="str">
        <f>IF('Sözleşme Metrajı'!E17="","",'Sözleşme Metrajı'!E17)</f>
        <v/>
      </c>
      <c r="F17" s="8" t="str">
        <f>IF(AND(D17&lt;&gt;"",ISNUMBER('Sözleşme Metrajı'!F17)),'Sözleşme Metrajı'!F17,"")</f>
        <v/>
      </c>
      <c r="G17" s="16"/>
      <c r="H17" s="16"/>
      <c r="I17" s="16" t="str">
        <f>IF(D17="","",IF(COUNT(G17:H17)=2,SUM(G17:H17),""))</f>
        <v/>
      </c>
      <c r="J17" s="8" t="str">
        <f>IF(D17="","",IF(H17="","",IF(H17=0,0,IF(COUNT(F17,H17)=2,ROUND(F17*H17,2),""))))</f>
        <v/>
      </c>
      <c r="K17" s="7" t="str">
        <f>IF(AND(ISNUMBER(I17),ISNUMBER('Sözleşme Metrajı'!G17),'Sözleşme Metrajı'!G17&gt;0),I17/'Sözleşme Metrajı'!G17,"")</f>
        <v/>
      </c>
    </row>
    <row r="18" ht="22" customHeight="1">
      <c r="A18" s="17" t="str">
        <f>IF('Sözleşme Metrajı'!A18="","",'Sözleşme Metrajı'!A18)</f>
        <v/>
      </c>
      <c r="B18" s="17" t="str">
        <f>IF('Sözleşme Metrajı'!B18="","",'Sözleşme Metrajı'!B18)</f>
        <v/>
      </c>
      <c r="C18" s="17" t="str">
        <f>IF('Sözleşme Metrajı'!C18="","",'Sözleşme Metrajı'!C18)</f>
        <v/>
      </c>
      <c r="D18" s="17" t="str">
        <f>IF('Sözleşme Metrajı'!D18="","",'Sözleşme Metrajı'!D18)</f>
        <v/>
      </c>
      <c r="E18" s="17" t="str">
        <f>IF('Sözleşme Metrajı'!E18="","",'Sözleşme Metrajı'!E18)</f>
        <v/>
      </c>
      <c r="F18" s="18" t="str">
        <f>IF(AND(D18&lt;&gt;"",ISNUMBER('Sözleşme Metrajı'!F18)),'Sözleşme Metrajı'!F18,"")</f>
        <v/>
      </c>
      <c r="G18" s="19"/>
      <c r="H18" s="19"/>
      <c r="I18" s="19" t="str">
        <f>IF(D18="","",IF(COUNT(G18:H18)=2,SUM(G18:H18),""))</f>
        <v/>
      </c>
      <c r="J18" s="18" t="str">
        <f>IF(D18="","",IF(H18="","",IF(H18=0,0,IF(COUNT(F18,H18)=2,ROUND(F18*H18,2),""))))</f>
        <v/>
      </c>
      <c r="K18" s="24" t="str">
        <f>IF(AND(ISNUMBER(I18),ISNUMBER('Sözleşme Metrajı'!G18),'Sözleşme Metrajı'!G18&gt;0),I18/'Sözleşme Metrajı'!G18,"")</f>
        <v/>
      </c>
    </row>
    <row r="19" ht="22" customHeight="1">
      <c r="A19" s="2" t="str">
        <f>IF('Sözleşme Metrajı'!A19="","",'Sözleşme Metrajı'!A19)</f>
        <v/>
      </c>
      <c r="B19" s="2" t="str">
        <f>IF('Sözleşme Metrajı'!B19="","",'Sözleşme Metrajı'!B19)</f>
        <v/>
      </c>
      <c r="C19" s="2" t="str">
        <f>IF('Sözleşme Metrajı'!C19="","",'Sözleşme Metrajı'!C19)</f>
        <v/>
      </c>
      <c r="D19" s="2" t="str">
        <f>IF('Sözleşme Metrajı'!D19="","",'Sözleşme Metrajı'!D19)</f>
        <v/>
      </c>
      <c r="E19" s="2" t="str">
        <f>IF('Sözleşme Metrajı'!E19="","",'Sözleşme Metrajı'!E19)</f>
        <v/>
      </c>
      <c r="F19" s="8" t="str">
        <f>IF(AND(D19&lt;&gt;"",ISNUMBER('Sözleşme Metrajı'!F19)),'Sözleşme Metrajı'!F19,"")</f>
        <v/>
      </c>
      <c r="G19" s="16"/>
      <c r="H19" s="16"/>
      <c r="I19" s="16" t="str">
        <f>IF(D19="","",IF(COUNT(G19:H19)=2,SUM(G19:H19),""))</f>
        <v/>
      </c>
      <c r="J19" s="8" t="str">
        <f>IF(D19="","",IF(H19="","",IF(H19=0,0,IF(COUNT(F19,H19)=2,ROUND(F19*H19,2),""))))</f>
        <v/>
      </c>
      <c r="K19" s="7" t="str">
        <f>IF(AND(ISNUMBER(I19),ISNUMBER('Sözleşme Metrajı'!G19),'Sözleşme Metrajı'!G19&gt;0),I19/'Sözleşme Metrajı'!G19,"")</f>
        <v/>
      </c>
    </row>
    <row r="20" ht="22" customHeight="1">
      <c r="A20" s="17" t="str">
        <f>IF('Sözleşme Metrajı'!A20="","",'Sözleşme Metrajı'!A20)</f>
        <v/>
      </c>
      <c r="B20" s="17" t="str">
        <f>IF('Sözleşme Metrajı'!B20="","",'Sözleşme Metrajı'!B20)</f>
        <v/>
      </c>
      <c r="C20" s="17" t="str">
        <f>IF('Sözleşme Metrajı'!C20="","",'Sözleşme Metrajı'!C20)</f>
        <v/>
      </c>
      <c r="D20" s="17" t="str">
        <f>IF('Sözleşme Metrajı'!D20="","",'Sözleşme Metrajı'!D20)</f>
        <v/>
      </c>
      <c r="E20" s="17" t="str">
        <f>IF('Sözleşme Metrajı'!E20="","",'Sözleşme Metrajı'!E20)</f>
        <v/>
      </c>
      <c r="F20" s="18" t="str">
        <f>IF(AND(D20&lt;&gt;"",ISNUMBER('Sözleşme Metrajı'!F20)),'Sözleşme Metrajı'!F20,"")</f>
        <v/>
      </c>
      <c r="G20" s="19"/>
      <c r="H20" s="19"/>
      <c r="I20" s="19" t="str">
        <f>IF(D20="","",IF(COUNT(G20:H20)=2,SUM(G20:H20),""))</f>
        <v/>
      </c>
      <c r="J20" s="18" t="str">
        <f>IF(D20="","",IF(H20="","",IF(H20=0,0,IF(COUNT(F20,H20)=2,ROUND(F20*H20,2),""))))</f>
        <v/>
      </c>
      <c r="K20" s="24" t="str">
        <f>IF(AND(ISNUMBER(I20),ISNUMBER('Sözleşme Metrajı'!G20),'Sözleşme Metrajı'!G20&gt;0),I20/'Sözleşme Metrajı'!G20,"")</f>
        <v/>
      </c>
    </row>
    <row r="21" ht="22" customHeight="1">
      <c r="A21" s="2" t="str">
        <f>IF('Sözleşme Metrajı'!A21="","",'Sözleşme Metrajı'!A21)</f>
        <v/>
      </c>
      <c r="B21" s="2" t="str">
        <f>IF('Sözleşme Metrajı'!B21="","",'Sözleşme Metrajı'!B21)</f>
        <v/>
      </c>
      <c r="C21" s="2" t="str">
        <f>IF('Sözleşme Metrajı'!C21="","",'Sözleşme Metrajı'!C21)</f>
        <v/>
      </c>
      <c r="D21" s="2" t="str">
        <f>IF('Sözleşme Metrajı'!D21="","",'Sözleşme Metrajı'!D21)</f>
        <v/>
      </c>
      <c r="E21" s="2" t="str">
        <f>IF('Sözleşme Metrajı'!E21="","",'Sözleşme Metrajı'!E21)</f>
        <v/>
      </c>
      <c r="F21" s="8" t="str">
        <f>IF(AND(D21&lt;&gt;"",ISNUMBER('Sözleşme Metrajı'!F21)),'Sözleşme Metrajı'!F21,"")</f>
        <v/>
      </c>
      <c r="G21" s="16"/>
      <c r="H21" s="16"/>
      <c r="I21" s="16" t="str">
        <f>IF(D21="","",IF(COUNT(G21:H21)=2,SUM(G21:H21),""))</f>
        <v/>
      </c>
      <c r="J21" s="8" t="str">
        <f>IF(D21="","",IF(H21="","",IF(H21=0,0,IF(COUNT(F21,H21)=2,ROUND(F21*H21,2),""))))</f>
        <v/>
      </c>
      <c r="K21" s="7" t="str">
        <f>IF(AND(ISNUMBER(I21),ISNUMBER('Sözleşme Metrajı'!G21),'Sözleşme Metrajı'!G21&gt;0),I21/'Sözleşme Metrajı'!G21,"")</f>
        <v/>
      </c>
    </row>
    <row r="22" ht="22" customHeight="1">
      <c r="A22" s="17" t="str">
        <f>IF('Sözleşme Metrajı'!A22="","",'Sözleşme Metrajı'!A22)</f>
        <v/>
      </c>
      <c r="B22" s="17" t="str">
        <f>IF('Sözleşme Metrajı'!B22="","",'Sözleşme Metrajı'!B22)</f>
        <v/>
      </c>
      <c r="C22" s="17" t="str">
        <f>IF('Sözleşme Metrajı'!C22="","",'Sözleşme Metrajı'!C22)</f>
        <v/>
      </c>
      <c r="D22" s="17" t="str">
        <f>IF('Sözleşme Metrajı'!D22="","",'Sözleşme Metrajı'!D22)</f>
        <v/>
      </c>
      <c r="E22" s="17" t="str">
        <f>IF('Sözleşme Metrajı'!E22="","",'Sözleşme Metrajı'!E22)</f>
        <v/>
      </c>
      <c r="F22" s="18" t="str">
        <f>IF(AND(D22&lt;&gt;"",ISNUMBER('Sözleşme Metrajı'!F22)),'Sözleşme Metrajı'!F22,"")</f>
        <v/>
      </c>
      <c r="G22" s="19"/>
      <c r="H22" s="19"/>
      <c r="I22" s="19" t="str">
        <f>IF(D22="","",IF(COUNT(G22:H22)=2,SUM(G22:H22),""))</f>
        <v/>
      </c>
      <c r="J22" s="18" t="str">
        <f>IF(D22="","",IF(H22="","",IF(H22=0,0,IF(COUNT(F22,H22)=2,ROUND(F22*H22,2),""))))</f>
        <v/>
      </c>
      <c r="K22" s="24" t="str">
        <f>IF(AND(ISNUMBER(I22),ISNUMBER('Sözleşme Metrajı'!G22),'Sözleşme Metrajı'!G22&gt;0),I22/'Sözleşme Metrajı'!G22,"")</f>
        <v/>
      </c>
    </row>
    <row r="23" ht="22" customHeight="1">
      <c r="A23" s="2" t="str">
        <f>IF('Sözleşme Metrajı'!A23="","",'Sözleşme Metrajı'!A23)</f>
        <v/>
      </c>
      <c r="B23" s="2" t="str">
        <f>IF('Sözleşme Metrajı'!B23="","",'Sözleşme Metrajı'!B23)</f>
        <v/>
      </c>
      <c r="C23" s="2" t="str">
        <f>IF('Sözleşme Metrajı'!C23="","",'Sözleşme Metrajı'!C23)</f>
        <v/>
      </c>
      <c r="D23" s="2" t="str">
        <f>IF('Sözleşme Metrajı'!D23="","",'Sözleşme Metrajı'!D23)</f>
        <v/>
      </c>
      <c r="E23" s="2" t="str">
        <f>IF('Sözleşme Metrajı'!E23="","",'Sözleşme Metrajı'!E23)</f>
        <v/>
      </c>
      <c r="F23" s="8" t="str">
        <f>IF(AND(D23&lt;&gt;"",ISNUMBER('Sözleşme Metrajı'!F23)),'Sözleşme Metrajı'!F23,"")</f>
        <v/>
      </c>
      <c r="G23" s="16"/>
      <c r="H23" s="16"/>
      <c r="I23" s="16" t="str">
        <f>IF(D23="","",IF(COUNT(G23:H23)=2,SUM(G23:H23),""))</f>
        <v/>
      </c>
      <c r="J23" s="8" t="str">
        <f>IF(D23="","",IF(H23="","",IF(H23=0,0,IF(COUNT(F23,H23)=2,ROUND(F23*H23,2),""))))</f>
        <v/>
      </c>
      <c r="K23" s="7" t="str">
        <f>IF(AND(ISNUMBER(I23),ISNUMBER('Sözleşme Metrajı'!G23),'Sözleşme Metrajı'!G23&gt;0),I23/'Sözleşme Metrajı'!G23,"")</f>
        <v/>
      </c>
    </row>
    <row r="24" ht="22" customHeight="1">
      <c r="A24" s="17" t="str">
        <f>IF('Sözleşme Metrajı'!A24="","",'Sözleşme Metrajı'!A24)</f>
        <v/>
      </c>
      <c r="B24" s="17" t="str">
        <f>IF('Sözleşme Metrajı'!B24="","",'Sözleşme Metrajı'!B24)</f>
        <v/>
      </c>
      <c r="C24" s="17" t="str">
        <f>IF('Sözleşme Metrajı'!C24="","",'Sözleşme Metrajı'!C24)</f>
        <v/>
      </c>
      <c r="D24" s="17" t="str">
        <f>IF('Sözleşme Metrajı'!D24="","",'Sözleşme Metrajı'!D24)</f>
        <v/>
      </c>
      <c r="E24" s="17" t="str">
        <f>IF('Sözleşme Metrajı'!E24="","",'Sözleşme Metrajı'!E24)</f>
        <v/>
      </c>
      <c r="F24" s="18" t="str">
        <f>IF(AND(D24&lt;&gt;"",ISNUMBER('Sözleşme Metrajı'!F24)),'Sözleşme Metrajı'!F24,"")</f>
        <v/>
      </c>
      <c r="G24" s="19"/>
      <c r="H24" s="19"/>
      <c r="I24" s="19" t="str">
        <f>IF(D24="","",IF(COUNT(G24:H24)=2,SUM(G24:H24),""))</f>
        <v/>
      </c>
      <c r="J24" s="18" t="str">
        <f>IF(D24="","",IF(H24="","",IF(H24=0,0,IF(COUNT(F24,H24)=2,ROUND(F24*H24,2),""))))</f>
        <v/>
      </c>
      <c r="K24" s="24" t="str">
        <f>IF(AND(ISNUMBER(I24),ISNUMBER('Sözleşme Metrajı'!G24),'Sözleşme Metrajı'!G24&gt;0),I24/'Sözleşme Metrajı'!G24,"")</f>
        <v/>
      </c>
    </row>
    <row r="26" ht="25" customHeight="1">
      <c r="A26" s="6" t="inlineStr">
        <is>
          <t xml:space="preserve">BU DÖNEM İMALAT TOPLAMI</t>
        </is>
      </c>
      <c r="B26" s="6"/>
      <c r="C26" s="6"/>
      <c r="D26" s="6"/>
      <c r="E26" s="6"/>
      <c r="F26" s="20"/>
      <c r="G26" s="21"/>
      <c r="H26" s="21"/>
      <c r="I26" s="21"/>
      <c r="J26" s="18" t="str">
        <f>IF(COUNTIF('Sözleşme Metrajı'!D5:D24,"&lt;&gt;")=0,"",IF(COUNT('Hakediş Cetveli'!J5:J24)=COUNTIF('Sözleşme Metrajı'!D5:D24,"&lt;&gt;"),SUM('Hakediş Cetveli'!J5:J24),""))</f>
        <v/>
      </c>
    </row>
    <row r="29" ht="25" customHeight="1">
      <c r="A29" s="6" t="inlineStr">
        <is>
          <t xml:space="preserve">KAYNAK KONTROL NOTLARI</t>
        </is>
      </c>
      <c r="B29" s="6"/>
      <c r="C29" s="6"/>
      <c r="D29" s="6"/>
      <c r="E29" s="6"/>
      <c r="F29" s="20"/>
      <c r="G29" s="21"/>
      <c r="H29" s="21"/>
      <c r="I29" s="21"/>
      <c r="J29" s="20"/>
      <c r="K29" s="25"/>
    </row>
    <row r="30" ht="30" customHeight="1">
      <c r="A30" s="17" t="inlineStr">
        <is>
          <t xml:space="preserve">Önceki hakediş zinciri eksik; önceki ve kümülatif tutarlar boş bırakıldı.</t>
        </is>
      </c>
      <c r="B30" s="17"/>
      <c r="C30" s="17"/>
      <c r="D30" s="17"/>
      <c r="E30" s="17"/>
      <c r="F30" s="18"/>
      <c r="G30" s="19"/>
      <c r="H30" s="19"/>
      <c r="I30" s="19"/>
      <c r="J30" s="18"/>
      <c r="K30" s="24"/>
    </row>
    <row r="31" ht="30" customHeight="1">
      <c r="A31" s="2" t="inlineStr">
        <is>
          <t xml:space="preserve">İş kalemi bulunmuyor.</t>
        </is>
      </c>
      <c r="B31" s="2"/>
      <c r="C31" s="2"/>
      <c r="D31" s="2"/>
      <c r="E31" s="2"/>
      <c r="F31" s="8"/>
      <c r="G31" s="16"/>
      <c r="H31" s="16"/>
      <c r="I31" s="16"/>
      <c r="J31" s="8"/>
      <c r="K31" s="7"/>
    </row>
    <row r="32" ht="30" customHeight="1">
      <c r="A32" s="17" t="inlineStr">
        <is>
          <t xml:space="preserve">KDV tevkifat oranı (% veya 4/10 gibi): eksik veya geçersiz; uygulanmıyorsa 0 girin.</t>
        </is>
      </c>
      <c r="B32" s="17"/>
      <c r="C32" s="17"/>
      <c r="D32" s="17"/>
      <c r="E32" s="17"/>
      <c r="F32" s="18"/>
      <c r="G32" s="19"/>
      <c r="H32" s="19"/>
      <c r="I32" s="19"/>
      <c r="J32" s="18"/>
      <c r="K32" s="24"/>
    </row>
    <row r="33" ht="30" customHeight="1">
      <c r="A33" s="2" t="inlineStr">
        <is>
          <t xml:space="preserve">Stopaj oranı (%): eksik veya geçersiz; uygulanmıyorsa 0 girin.</t>
        </is>
      </c>
      <c r="B33" s="2"/>
      <c r="C33" s="2"/>
      <c r="D33" s="2"/>
      <c r="E33" s="2"/>
      <c r="F33" s="8"/>
      <c r="G33" s="16"/>
      <c r="H33" s="16"/>
      <c r="I33" s="16"/>
      <c r="J33" s="8"/>
      <c r="K33" s="7"/>
    </row>
    <row r="34" ht="30" customHeight="1">
      <c r="A34" s="17" t="inlineStr">
        <is>
          <t xml:space="preserve">Avans mahsubu (TL): eksik veya geçersiz; yoksa 0 girin.</t>
        </is>
      </c>
      <c r="B34" s="17"/>
      <c r="C34" s="17"/>
      <c r="D34" s="17"/>
      <c r="E34" s="17"/>
      <c r="F34" s="18"/>
      <c r="G34" s="19"/>
      <c r="H34" s="19"/>
      <c r="I34" s="19"/>
      <c r="J34" s="18"/>
      <c r="K34" s="24"/>
    </row>
    <row r="35" ht="30" customHeight="1">
      <c r="A35" s="2" t="inlineStr">
        <is>
          <t xml:space="preserve">Bu dönem fiyat farkı (TL): eksik veya geçersiz; yoksa 0 girin.</t>
        </is>
      </c>
      <c r="B35" s="2"/>
      <c r="C35" s="2"/>
      <c r="D35" s="2"/>
      <c r="E35" s="2"/>
      <c r="F35" s="8"/>
      <c r="G35" s="16"/>
      <c r="H35" s="16"/>
      <c r="I35" s="16"/>
      <c r="J35" s="8"/>
      <c r="K35" s="7"/>
    </row>
    <row r="36" ht="30" customHeight="1">
      <c r="A36" s="17" t="inlineStr">
        <is>
          <t xml:space="preserve">İşin adı: eksik.</t>
        </is>
      </c>
      <c r="B36" s="17"/>
      <c r="C36" s="17"/>
      <c r="D36" s="17"/>
      <c r="E36" s="17"/>
      <c r="F36" s="18"/>
      <c r="G36" s="19"/>
      <c r="H36" s="19"/>
      <c r="I36" s="19"/>
      <c r="J36" s="18"/>
      <c r="K36" s="24"/>
    </row>
    <row r="37" ht="30" customHeight="1">
      <c r="A37" s="2" t="inlineStr">
        <is>
          <t xml:space="preserve">İşveren firma / unvan: eksik.</t>
        </is>
      </c>
      <c r="B37" s="2"/>
      <c r="C37" s="2"/>
      <c r="D37" s="2"/>
      <c r="E37" s="2"/>
      <c r="F37" s="8"/>
      <c r="G37" s="16"/>
      <c r="H37" s="16"/>
      <c r="I37" s="16"/>
      <c r="J37" s="8"/>
      <c r="K37" s="7"/>
    </row>
    <row r="38" ht="30" customHeight="1">
      <c r="A38" s="17" t="inlineStr">
        <is>
          <t xml:space="preserve">Yüklenici firma / unvan: eksik.</t>
        </is>
      </c>
      <c r="B38" s="17"/>
      <c r="C38" s="17"/>
      <c r="D38" s="17"/>
      <c r="E38" s="17"/>
      <c r="F38" s="18"/>
      <c r="G38" s="19"/>
      <c r="H38" s="19"/>
      <c r="I38" s="19"/>
      <c r="J38" s="18"/>
      <c r="K38" s="24"/>
    </row>
    <row r="39" ht="30" customHeight="1">
      <c r="A39" s="2" t="inlineStr">
        <is>
          <t xml:space="preserve">Hakediş tarihi: eksik.</t>
        </is>
      </c>
      <c r="B39" s="2"/>
      <c r="C39" s="2"/>
      <c r="D39" s="2"/>
      <c r="E39" s="2"/>
      <c r="F39" s="8"/>
      <c r="G39" s="16"/>
      <c r="H39" s="16"/>
      <c r="I39" s="16"/>
      <c r="J39" s="8"/>
      <c r="K39" s="7"/>
    </row>
    <row r="40" ht="30" customHeight="1">
      <c r="A40" s="17" t="inlineStr">
        <is>
          <t xml:space="preserve">Dönem başlangıcı: eksik.</t>
        </is>
      </c>
      <c r="B40" s="17"/>
      <c r="C40" s="17"/>
      <c r="D40" s="17"/>
      <c r="E40" s="17"/>
      <c r="F40" s="18"/>
      <c r="G40" s="19"/>
      <c r="H40" s="19"/>
      <c r="I40" s="19"/>
      <c r="J40" s="18"/>
      <c r="K40" s="24"/>
    </row>
    <row r="41" ht="30" customHeight="1">
      <c r="A41" s="2" t="inlineStr">
        <is>
          <t xml:space="preserve">Dönem bitişi: eksik.</t>
        </is>
      </c>
      <c r="B41" s="2"/>
      <c r="C41" s="2"/>
      <c r="D41" s="2"/>
      <c r="E41" s="2"/>
      <c r="F41" s="8"/>
      <c r="G41" s="16"/>
      <c r="H41" s="16"/>
      <c r="I41" s="16"/>
      <c r="J41" s="8"/>
      <c r="K41" s="7"/>
    </row>
  </sheetData>
  <autoFilter ref="A4:K24"/>
  <mergeCells count="15">
    <mergeCell ref="A1:K1"/>
    <mergeCell ref="A26:I26"/>
    <mergeCell ref="A29:K29"/>
    <mergeCell ref="A30:K30"/>
    <mergeCell ref="A31:K31"/>
    <mergeCell ref="A32:K32"/>
    <mergeCell ref="A33:K33"/>
    <mergeCell ref="A34:K34"/>
    <mergeCell ref="A35:K35"/>
    <mergeCell ref="A36:K36"/>
    <mergeCell ref="A37:K37"/>
    <mergeCell ref="A38:K38"/>
    <mergeCell ref="A39:K39"/>
    <mergeCell ref="A40:K40"/>
    <mergeCell ref="A41:K41"/>
  </mergeCells>
  <pageMargins left="0.25" right="0.25" top="0.35" bottom="0.35" header="0.15" footer="0.15"/>
  <pageSetup paperSize="9" orientation="landscape" fitToWidth="1" fitToHeight="0"/>
  <headerFooter>
    <oddFooter>CephePro | Sayfa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6"/>
  <sheetViews>
    <sheetView workbookViewId="0" showGridLines="0">
      <pane xSplit="0" ySplit="4" topLeftCell="A5" activePane="bottomLeft" state="frozen"/>
    </sheetView>
  </sheetViews>
  <sheetFormatPr defaultRowHeight="22"/>
  <cols>
    <col min="1" max="1" width="26" customWidth="1"/>
    <col min="2" max="2" width="12" customWidth="1"/>
    <col min="3" max="3" width="52" customWidth="1"/>
    <col min="4" max="4" width="12" customWidth="1"/>
    <col min="5" max="5" width="12" customWidth="1"/>
    <col min="6" max="6" width="13" customWidth="1"/>
    <col min="7" max="7" width="14" customWidth="1"/>
  </cols>
  <sheetData>
    <row r="1" ht="34" customHeight="1">
      <c r="A1" s="1" t="inlineStr">
        <is>
          <t xml:space="preserve">Saha Tutanakları</t>
        </is>
      </c>
      <c r="B1" s="1"/>
      <c r="C1" s="1"/>
      <c r="D1" s="12"/>
      <c r="E1" s="1"/>
      <c r="F1" s="11"/>
      <c r="G1" s="11"/>
    </row>
    <row r="4" ht="38" customHeight="1">
      <c r="A4" s="13" t="inlineStr">
        <is>
          <t xml:space="preserve">Tutanak No</t>
        </is>
      </c>
      <c r="B4" s="13" t="inlineStr">
        <is>
          <t xml:space="preserve">Tarih</t>
        </is>
      </c>
      <c r="C4" s="13" t="inlineStr">
        <is>
          <t xml:space="preserve">İş Açıklaması / Ekstra İş</t>
        </is>
      </c>
      <c r="D4" s="15" t="inlineStr">
        <is>
          <t xml:space="preserve">Miktar</t>
        </is>
      </c>
      <c r="E4" s="13" t="inlineStr">
        <is>
          <t xml:space="preserve">Birim</t>
        </is>
      </c>
      <c r="F4" s="14" t="inlineStr">
        <is>
          <t xml:space="preserve">Birim Fiyat</t>
        </is>
      </c>
      <c r="G4" s="14" t="inlineStr">
        <is>
          <t xml:space="preserve">Toplam Tutar</t>
        </is>
      </c>
    </row>
    <row r="5" ht="22" customHeight="1">
      <c r="A5" s="2" t="str">
        <f>IF(AND(ISNUMBER('Hakediş İcmali (Kapak)'!L25),'Hakediş İcmali (Kapak)'!L25&lt;&gt;0),"FİYAT-FARKI","")</f>
        <v/>
      </c>
      <c r="B5" s="2" t="str">
        <f>IF(AND(ISNUMBER('Hakediş İcmali (Kapak)'!L25),'Hakediş İcmali (Kapak)'!L25&lt;&gt;0),IF('Hakediş İcmali (Kapak)'!C13="","",'Hakediş İcmali (Kapak)'!C13),"")</f>
        <v/>
      </c>
      <c r="C5" s="2" t="str">
        <f>IF(AND(ISNUMBER('Hakediş İcmali (Kapak)'!L25),'Hakediş İcmali (Kapak)'!L25&lt;&gt;0),"Onaylı fiyat farkı","")</f>
        <v/>
      </c>
      <c r="D5" s="16" t="str">
        <f>IF(AND(ISNUMBER('Hakediş İcmali (Kapak)'!L25),'Hakediş İcmali (Kapak)'!L25&lt;&gt;0),1,"")</f>
        <v/>
      </c>
      <c r="E5" s="2" t="str">
        <f>IF(AND(ISNUMBER('Hakediş İcmali (Kapak)'!L25),'Hakediş İcmali (Kapak)'!L25&lt;&gt;0),"adet","")</f>
        <v/>
      </c>
      <c r="F5" s="8" t="str">
        <f>IF(AND(ISNUMBER('Hakediş İcmali (Kapak)'!L25),'Hakediş İcmali (Kapak)'!L25&lt;&gt;0),'Hakediş İcmali (Kapak)'!L25,"")</f>
        <v/>
      </c>
      <c r="G5" s="8" t="str">
        <f>IF(C5="","",IF(COUNT(D5,F5)=2,ROUND(D5*F5,2),""))</f>
        <v/>
      </c>
    </row>
    <row r="6" ht="22" customHeight="1">
      <c r="A6" s="17"/>
      <c r="B6" s="17"/>
      <c r="C6" s="17"/>
      <c r="D6" s="19"/>
      <c r="E6" s="17"/>
      <c r="F6" s="18"/>
      <c r="G6" s="18" t="str">
        <f>IF(C6="","",IF(COUNT(D6,F6)=2,ROUND(D6*F6,2),""))</f>
        <v/>
      </c>
    </row>
    <row r="7" ht="22" customHeight="1">
      <c r="A7" s="2"/>
      <c r="B7" s="2"/>
      <c r="C7" s="2"/>
      <c r="D7" s="16"/>
      <c r="E7" s="2"/>
      <c r="F7" s="8"/>
      <c r="G7" s="8" t="str">
        <f>IF(C7="","",IF(COUNT(D7,F7)=2,ROUND(D7*F7,2),""))</f>
        <v/>
      </c>
    </row>
    <row r="8" ht="22" customHeight="1">
      <c r="A8" s="17"/>
      <c r="B8" s="17"/>
      <c r="C8" s="17"/>
      <c r="D8" s="19"/>
      <c r="E8" s="17"/>
      <c r="F8" s="18"/>
      <c r="G8" s="18" t="str">
        <f>IF(C8="","",IF(COUNT(D8,F8)=2,ROUND(D8*F8,2),""))</f>
        <v/>
      </c>
    </row>
    <row r="9" ht="22" customHeight="1">
      <c r="A9" s="2"/>
      <c r="B9" s="2"/>
      <c r="C9" s="2"/>
      <c r="D9" s="16"/>
      <c r="E9" s="2"/>
      <c r="F9" s="8"/>
      <c r="G9" s="8" t="str">
        <f>IF(C9="","",IF(COUNT(D9,F9)=2,ROUND(D9*F9,2),""))</f>
        <v/>
      </c>
    </row>
    <row r="10" ht="22" customHeight="1">
      <c r="A10" s="17"/>
      <c r="B10" s="17"/>
      <c r="C10" s="17"/>
      <c r="D10" s="19"/>
      <c r="E10" s="17"/>
      <c r="F10" s="18"/>
      <c r="G10" s="18" t="str">
        <f>IF(C10="","",IF(COUNT(D10,F10)=2,ROUND(D10*F10,2),""))</f>
        <v/>
      </c>
    </row>
    <row r="11" ht="22" customHeight="1">
      <c r="A11" s="2"/>
      <c r="B11" s="2"/>
      <c r="C11" s="2"/>
      <c r="D11" s="16"/>
      <c r="E11" s="2"/>
      <c r="F11" s="8"/>
      <c r="G11" s="8" t="str">
        <f>IF(C11="","",IF(COUNT(D11,F11)=2,ROUND(D11*F11,2),""))</f>
        <v/>
      </c>
    </row>
    <row r="12" ht="22" customHeight="1">
      <c r="A12" s="17"/>
      <c r="B12" s="17"/>
      <c r="C12" s="17"/>
      <c r="D12" s="19"/>
      <c r="E12" s="17"/>
      <c r="F12" s="18"/>
      <c r="G12" s="18" t="str">
        <f>IF(C12="","",IF(COUNT(D12,F12)=2,ROUND(D12*F12,2),""))</f>
        <v/>
      </c>
    </row>
    <row r="13" ht="22" customHeight="1">
      <c r="A13" s="2"/>
      <c r="B13" s="2"/>
      <c r="C13" s="2"/>
      <c r="D13" s="16"/>
      <c r="E13" s="2"/>
      <c r="F13" s="8"/>
      <c r="G13" s="8" t="str">
        <f>IF(C13="","",IF(COUNT(D13,F13)=2,ROUND(D13*F13,2),""))</f>
        <v/>
      </c>
    </row>
    <row r="14" ht="22" customHeight="1">
      <c r="A14" s="17"/>
      <c r="B14" s="17"/>
      <c r="C14" s="17"/>
      <c r="D14" s="19"/>
      <c r="E14" s="17"/>
      <c r="F14" s="18"/>
      <c r="G14" s="18" t="str">
        <f>IF(C14="","",IF(COUNT(D14,F14)=2,ROUND(D14*F14,2),""))</f>
        <v/>
      </c>
    </row>
    <row r="16" ht="25" customHeight="1">
      <c r="A16" s="6" t="inlineStr">
        <is>
          <t xml:space="preserve">SAHA TUTANAKLARI TOPLAMI</t>
        </is>
      </c>
      <c r="B16" s="6"/>
      <c r="C16" s="6"/>
      <c r="D16" s="21"/>
      <c r="E16" s="6"/>
      <c r="F16" s="20"/>
      <c r="G16" s="18">
        <f>IF(COUNT(G5:G14)=COUNTIF(C5:C14,"&lt;&gt;"),SUM(G5:G14),"")</f>
        <v>0</v>
      </c>
    </row>
  </sheetData>
  <autoFilter ref="A4:G14"/>
  <mergeCells count="2">
    <mergeCell ref="A1:G1"/>
    <mergeCell ref="A16:F16"/>
  </mergeCells>
  <pageMargins left="0.25" right="0.25" top="0.35" bottom="0.35" header="0.15" footer="0.15"/>
  <pageSetup paperSize="9" orientation="landscape" fitToWidth="1" fitToHeight="0"/>
  <headerFooter>
    <oddFooter>CephePro | Sayfa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3"/>
  <sheetViews>
    <sheetView workbookViewId="0" showGridLines="0">
      <pane xSplit="0" ySplit="4" topLeftCell="A5" activePane="bottomLeft" state="frozen"/>
    </sheetView>
  </sheetViews>
  <sheetFormatPr defaultRowHeight="22"/>
  <cols>
    <col min="1" max="1" width="23" customWidth="1"/>
    <col min="2" max="2" width="29" customWidth="1"/>
    <col min="3" max="3" width="52" customWidth="1"/>
    <col min="4" max="4" width="24" customWidth="1"/>
  </cols>
  <sheetData>
    <row r="1" ht="34" customHeight="1">
      <c r="A1" s="1" t="inlineStr">
        <is>
          <t xml:space="preserve">Kesintiler ve Cezalar</t>
        </is>
      </c>
      <c r="B1" s="1"/>
      <c r="C1" s="1"/>
      <c r="D1" s="11"/>
    </row>
    <row r="4" ht="38" customHeight="1">
      <c r="A4" s="13" t="inlineStr">
        <is>
          <t xml:space="preserve">Tarih</t>
        </is>
      </c>
      <c r="B4" s="13" t="inlineStr">
        <is>
          <t xml:space="preserve">Kesinti Türü</t>
        </is>
      </c>
      <c r="C4" s="13" t="inlineStr">
        <is>
          <t xml:space="preserve">Oran / Açıklama</t>
        </is>
      </c>
      <c r="D4" s="14" t="inlineStr">
        <is>
          <t xml:space="preserve">Kesinti Tutarı</t>
        </is>
      </c>
    </row>
    <row r="5" ht="22" customHeight="1">
      <c r="A5" s="2"/>
      <c r="B5" s="2" t="inlineStr">
        <is>
          <t xml:space="preserve">Nakit Teminat</t>
        </is>
      </c>
      <c r="C5" s="7">
        <f>IF(ISNUMBER('Hakediş İcmali (Kapak)'!L21),'Hakediş İcmali (Kapak)'!L21,"")</f>
        <v>0.05</v>
      </c>
      <c r="D5" s="8" t="str">
        <f>IF(AND(ISNUMBER('Hakediş İcmali (Kapak)'!L21),ISNUMBER(IF(ISNUMBER('Hakediş İcmali (Kapak)'!L23),'Hakediş İcmali (Kapak)'!L23,'Hakediş İcmali (Kapak)'!J32))),ROUND(IF(ISNUMBER('Hakediş İcmali (Kapak)'!L23),'Hakediş İcmali (Kapak)'!L23,'Hakediş İcmali (Kapak)'!J32)*'Hakediş İcmali (Kapak)'!L21,2),"")</f>
        <v/>
      </c>
    </row>
    <row r="6" ht="22" customHeight="1">
      <c r="A6" s="17"/>
      <c r="B6" s="17" t="inlineStr">
        <is>
          <t xml:space="preserve">Avans Mahsubu</t>
        </is>
      </c>
      <c r="C6" s="17" t="inlineStr">
        <is>
          <t xml:space="preserve">Uygulanmıyorsa kapakta 0 girin.</t>
        </is>
      </c>
      <c r="D6" s="18" t="str">
        <f>IF(ISNUMBER('Hakediş İcmali (Kapak)'!L22),'Hakediş İcmali (Kapak)'!L22,"")</f>
        <v/>
      </c>
    </row>
    <row r="7" ht="22" customHeight="1">
      <c r="A7" s="2"/>
      <c r="B7" s="2" t="inlineStr">
        <is>
          <t xml:space="preserve">Stopaj</t>
        </is>
      </c>
      <c r="C7" s="7" t="str">
        <f>IF(ISNUMBER('Hakediş İcmali (Kapak)'!E24),'Hakediş İcmali (Kapak)'!E24,"")</f>
        <v/>
      </c>
      <c r="D7" s="8">
        <f>IF('Hakediş İcmali (Kapak)'!E24="",0,IF(AND(ISNUMBER('Hakediş İcmali (Kapak)'!E24),ISNUMBER('Hakediş İcmali (Kapak)'!J32)),ROUND(IF(ISNUMBER('Hakediş İcmali (Kapak)'!E25),'Hakediş İcmali (Kapak)'!E25,'Hakediş İcmali (Kapak)'!J32)*'Hakediş İcmali (Kapak)'!E24,2),""))</f>
        <v>0</v>
      </c>
    </row>
    <row r="8" ht="22" customHeight="1">
      <c r="A8" s="17"/>
      <c r="B8" s="17" t="inlineStr">
        <is>
          <t xml:space="preserve">KDV Tevkifatı</t>
        </is>
      </c>
      <c r="C8" s="24" t="str">
        <f>IF(ISNUMBER('Hakediş İcmali (Kapak)'!L24),'Hakediş İcmali (Kapak)'!L24,"")</f>
        <v/>
      </c>
      <c r="D8" s="18">
        <f>IF('Hakediş İcmali (Kapak)'!L24="",0,IF(AND(ISNUMBER('Hakediş İcmali (Kapak)'!L24),ISNUMBER('Hakediş İcmali (Kapak)'!J36)),ROUND('Hakediş İcmali (Kapak)'!J36*'Hakediş İcmali (Kapak)'!L24,2),""))</f>
        <v>0</v>
      </c>
    </row>
    <row r="9" ht="22" customHeight="1">
      <c r="A9" s="2"/>
      <c r="B9" s="2" t="inlineStr">
        <is>
          <t xml:space="preserve">İSG Uyarı Cezası</t>
        </is>
      </c>
      <c r="C9" s="2" t="inlineStr">
        <is>
          <t xml:space="preserve">Varsa tutarı girin; uygulanmıyorsa 0 girin.</t>
        </is>
      </c>
      <c r="D9" s="8"/>
    </row>
    <row r="10" ht="22" customHeight="1">
      <c r="A10" s="17"/>
      <c r="B10" s="17" t="inlineStr">
        <is>
          <t xml:space="preserve">Yemek/Konaklama</t>
        </is>
      </c>
      <c r="C10" s="17" t="inlineStr">
        <is>
          <t xml:space="preserve">Varsa tutarı girin; uygulanmıyorsa 0 girin.</t>
        </is>
      </c>
      <c r="D10" s="18"/>
    </row>
    <row r="11" ht="22" customHeight="1">
      <c r="A11" s="2"/>
      <c r="B11" s="2" t="inlineStr">
        <is>
          <t xml:space="preserve">Şantiye Gider Katılımı</t>
        </is>
      </c>
      <c r="C11" s="2" t="inlineStr">
        <is>
          <t xml:space="preserve">Varsa tutarı girin; uygulanmıyorsa 0 girin.</t>
        </is>
      </c>
      <c r="D11" s="8"/>
    </row>
    <row r="13" ht="25" customHeight="1">
      <c r="A13" s="6" t="inlineStr">
        <is>
          <t xml:space="preserve">KESİNTİLER TOPLAMI</t>
        </is>
      </c>
      <c r="B13" s="6"/>
      <c r="C13" s="6"/>
      <c r="D13" s="8" t="str">
        <f>IF(COUNT(D5:D11)=COUNTIF(B5:B11,"&lt;&gt;"),SUM(D5:D11),"")</f>
        <v/>
      </c>
    </row>
  </sheetData>
  <autoFilter ref="A4:D11"/>
  <mergeCells count="2">
    <mergeCell ref="A1:D1"/>
    <mergeCell ref="A13:C13"/>
  </mergeCells>
  <pageMargins left="0.25" right="0.25" top="0.35" bottom="0.35" header="0.15" footer="0.15"/>
  <pageSetup paperSize="9" orientation="landscape" fitToWidth="1" fitToHeight="0"/>
  <headerFooter>
    <oddFooter>CephePro | Sayfa &amp;P / &amp;N</oddFooter>
  </headerFooter>
</worksheet>
</file>

<file path=docProps/app.xml><?xml version="1.0" encoding="utf-8"?>
<Properties xmlns="http://schemas.openxmlformats.org/officeDocument/2006/extended-properties">
  <Application>CephePro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CephePro 5 Sayfalı Firma Hakediş Şablonu</dc:title>
  <dc:creator>CephePro</dc:creator>
  <dc:description>Formüllü boş şablon; gerçek proje bilgisi içermez.</dc:description>
</cp:coreProperties>
</file>